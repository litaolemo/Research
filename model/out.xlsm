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veastonac-my.sharepoint.com/personal/220106979_aston_ac_uk/Documents/aston/Research/model/"/>
    </mc:Choice>
  </mc:AlternateContent>
  <xr:revisionPtr revIDLastSave="7" documentId="13_ncr:1_{35F3A42C-A002-41B3-8667-E035098A9785}" xr6:coauthVersionLast="47" xr6:coauthVersionMax="47" xr10:uidLastSave="{25E8100E-3BB0-45B1-B044-6E38BC20102D}"/>
  <bookViews>
    <workbookView xWindow="38292" yWindow="-6108" windowWidth="30936" windowHeight="16776" activeTab="2" xr2:uid="{00000000-000D-0000-FFFF-FFFF00000000}"/>
  </bookViews>
  <sheets>
    <sheet name="Sheet1" sheetId="1" r:id="rId1"/>
    <sheet name="Sheet3" sheetId="3" r:id="rId2"/>
    <sheet name="2000data point" sheetId="2" r:id="rId3"/>
    <sheet name="graph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2" l="1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2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" i="1"/>
</calcChain>
</file>

<file path=xl/sharedStrings.xml><?xml version="1.0" encoding="utf-8"?>
<sst xmlns="http://schemas.openxmlformats.org/spreadsheetml/2006/main" count="414" uniqueCount="67">
  <si>
    <t>type</t>
    <phoneticPr fontId="1" type="noConversion"/>
  </si>
  <si>
    <t>ARIMA</t>
    <phoneticPr fontId="1" type="noConversion"/>
  </si>
  <si>
    <t>p</t>
    <phoneticPr fontId="1" type="noConversion"/>
  </si>
  <si>
    <t>d</t>
    <phoneticPr fontId="1" type="noConversion"/>
  </si>
  <si>
    <t>q</t>
    <phoneticPr fontId="1" type="noConversion"/>
  </si>
  <si>
    <t>P</t>
    <phoneticPr fontId="1" type="noConversion"/>
  </si>
  <si>
    <t>D</t>
    <phoneticPr fontId="1" type="noConversion"/>
  </si>
  <si>
    <t>Q</t>
    <phoneticPr fontId="1" type="noConversion"/>
  </si>
  <si>
    <t>s</t>
    <phoneticPr fontId="1" type="noConversion"/>
  </si>
  <si>
    <t>LSTM</t>
    <phoneticPr fontId="1" type="noConversion"/>
  </si>
  <si>
    <t>RNN</t>
    <phoneticPr fontId="1" type="noConversion"/>
  </si>
  <si>
    <t>train AIC</t>
    <phoneticPr fontId="1" type="noConversion"/>
  </si>
  <si>
    <t>train mse</t>
    <phoneticPr fontId="1" type="noConversion"/>
  </si>
  <si>
    <t>test mse</t>
    <phoneticPr fontId="1" type="noConversion"/>
  </si>
  <si>
    <t>sarima</t>
  </si>
  <si>
    <t xml:space="preserve"> 0 0 0</t>
  </si>
  <si>
    <t>train aic</t>
  </si>
  <si>
    <t>train mse</t>
  </si>
  <si>
    <t>mse</t>
  </si>
  <si>
    <t>rmse</t>
  </si>
  <si>
    <t>mae</t>
  </si>
  <si>
    <t>r2</t>
  </si>
  <si>
    <t xml:space="preserve"> 0 0 1</t>
  </si>
  <si>
    <t xml:space="preserve"> 0 0 2</t>
  </si>
  <si>
    <t xml:space="preserve"> 0 0 3</t>
  </si>
  <si>
    <t xml:space="preserve"> 0 0 4</t>
  </si>
  <si>
    <t xml:space="preserve"> 0 0 5</t>
  </si>
  <si>
    <t xml:space="preserve"> 1 0 0</t>
  </si>
  <si>
    <t xml:space="preserve"> 1 0 1</t>
  </si>
  <si>
    <t xml:space="preserve"> 1 0 2</t>
  </si>
  <si>
    <t xml:space="preserve"> 1 0 3</t>
  </si>
  <si>
    <t xml:space="preserve"> 1 0 4</t>
  </si>
  <si>
    <t xml:space="preserve"> 1 0 5</t>
  </si>
  <si>
    <t xml:space="preserve"> 2 0 0</t>
  </si>
  <si>
    <t xml:space="preserve"> 2 0 1</t>
  </si>
  <si>
    <t xml:space="preserve"> 2 0 2</t>
  </si>
  <si>
    <t xml:space="preserve"> 2 0 3</t>
  </si>
  <si>
    <t xml:space="preserve"> 2 0 4</t>
  </si>
  <si>
    <t xml:space="preserve"> 2 0 5</t>
  </si>
  <si>
    <t xml:space="preserve"> 3 0 0</t>
  </si>
  <si>
    <t xml:space="preserve"> 3 0 1</t>
  </si>
  <si>
    <t xml:space="preserve"> 3 0 2</t>
  </si>
  <si>
    <t xml:space="preserve"> 3 0 3</t>
  </si>
  <si>
    <t xml:space="preserve"> 3 0 4</t>
  </si>
  <si>
    <t xml:space="preserve"> 3 0 5</t>
  </si>
  <si>
    <t xml:space="preserve"> 4 0 0</t>
  </si>
  <si>
    <t xml:space="preserve"> 4 0 1</t>
  </si>
  <si>
    <t xml:space="preserve"> 4 0 2</t>
  </si>
  <si>
    <t xml:space="preserve"> 4 0 3</t>
  </si>
  <si>
    <t xml:space="preserve"> 4 0 4</t>
  </si>
  <si>
    <t xml:space="preserve"> 4 0 5</t>
  </si>
  <si>
    <t xml:space="preserve"> 5 0 0</t>
  </si>
  <si>
    <t xml:space="preserve"> 5 0 1</t>
  </si>
  <si>
    <t xml:space="preserve"> 5 0 2</t>
  </si>
  <si>
    <t xml:space="preserve"> 5 0 3</t>
  </si>
  <si>
    <t xml:space="preserve"> 5 0 4</t>
  </si>
  <si>
    <t xml:space="preserve"> 5 0 5</t>
  </si>
  <si>
    <t>test mae</t>
    <phoneticPr fontId="1" type="noConversion"/>
  </si>
  <si>
    <t>test r2</t>
    <phoneticPr fontId="1" type="noConversion"/>
  </si>
  <si>
    <t>mape</t>
  </si>
  <si>
    <t>Transformer</t>
    <phoneticPr fontId="1" type="noConversion"/>
  </si>
  <si>
    <t>test mape</t>
    <phoneticPr fontId="1" type="noConversion"/>
  </si>
  <si>
    <t xml:space="preserve">ARIMA </t>
    <phoneticPr fontId="1" type="noConversion"/>
  </si>
  <si>
    <t>4,0,2</t>
    <phoneticPr fontId="1" type="noConversion"/>
  </si>
  <si>
    <t>Train RMSE</t>
    <phoneticPr fontId="1" type="noConversion"/>
  </si>
  <si>
    <t xml:space="preserve">test mse </t>
    <phoneticPr fontId="1" type="noConversion"/>
  </si>
  <si>
    <t>test RMSE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</si>
</sst>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.8000000000000007"/>
      <name val="Courier New"/>
      <family val="3"/>
    </font>
    <font>
      <sz val="11"/>
      <name val="等线"/>
      <family val="2"/>
      <scheme val="minor"/>
    </font>
    <font>
      <sz val="9.8000000000000007"/>
      <color rgb="FFA9B7C6"/>
      <name val="Courier New"/>
      <family val="3"/>
    </font>
    <font>
      <sz val="9.8000000000000007"/>
      <color rgb="FFCC783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1</xdr:row>
      <xdr:rowOff>31432</xdr:rowOff>
    </xdr:from>
    <xdr:to>
      <xdr:col>11</xdr:col>
      <xdr:colOff>190180</xdr:colOff>
      <xdr:row>17</xdr:row>
      <xdr:rowOff>150749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381413A-880E-99CA-7577-EE1CD8983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" y="206692"/>
          <a:ext cx="7307260" cy="2923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16193</xdr:rowOff>
    </xdr:from>
    <xdr:to>
      <xdr:col>11</xdr:col>
      <xdr:colOff>190500</xdr:colOff>
      <xdr:row>41</xdr:row>
      <xdr:rowOff>118025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3DB9402A-7876-2D66-D538-CE9836F3A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46133"/>
          <a:ext cx="7315200" cy="3957552"/>
        </a:xfrm>
        <a:prstGeom prst="rect">
          <a:avLst/>
        </a:prstGeom>
      </xdr:spPr>
    </xdr:pic>
    <xdr:clientData/>
  </xdr:twoCellAnchor>
  <xdr:twoCellAnchor editAs="oneCell">
    <xdr:from>
      <xdr:col>0</xdr:col>
      <xdr:colOff>274319</xdr:colOff>
      <xdr:row>66</xdr:row>
      <xdr:rowOff>61912</xdr:rowOff>
    </xdr:from>
    <xdr:to>
      <xdr:col>11</xdr:col>
      <xdr:colOff>114900</xdr:colOff>
      <xdr:row>94</xdr:row>
      <xdr:rowOff>37989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F118F22-CCBC-CC77-0DA6-E429054D7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319" y="11629072"/>
          <a:ext cx="6965281" cy="48833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160020</xdr:rowOff>
    </xdr:from>
    <xdr:to>
      <xdr:col>12</xdr:col>
      <xdr:colOff>0</xdr:colOff>
      <xdr:row>65</xdr:row>
      <xdr:rowOff>157726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B766CC86-D540-3851-7A6F-EB2E9F3CD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45680"/>
          <a:ext cx="7772400" cy="42039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"/>
  <sheetViews>
    <sheetView workbookViewId="0">
      <selection activeCell="J22" sqref="J22"/>
    </sheetView>
  </sheetViews>
  <sheetFormatPr defaultRowHeight="13.9" x14ac:dyDescent="0.4"/>
  <cols>
    <col min="9" max="9" width="13.6640625" customWidth="1"/>
    <col min="10" max="10" width="18.33203125" customWidth="1"/>
    <col min="11" max="11" width="11.86328125" customWidth="1"/>
  </cols>
  <sheetData>
    <row r="1" spans="1:12" x14ac:dyDescent="0.4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11</v>
      </c>
      <c r="J1" t="s">
        <v>12</v>
      </c>
      <c r="K1" t="s">
        <v>13</v>
      </c>
    </row>
    <row r="2" spans="1:12" x14ac:dyDescent="0.4">
      <c r="A2" t="s">
        <v>1</v>
      </c>
      <c r="B2">
        <v>1</v>
      </c>
      <c r="C2">
        <v>0</v>
      </c>
      <c r="D2">
        <v>5</v>
      </c>
      <c r="E2">
        <v>0</v>
      </c>
      <c r="F2">
        <v>1</v>
      </c>
      <c r="G2">
        <v>0</v>
      </c>
      <c r="H2">
        <v>420</v>
      </c>
      <c r="I2">
        <v>-3576.1620822619102</v>
      </c>
      <c r="J2">
        <v>8.2459631946325707E-3</v>
      </c>
      <c r="K2">
        <v>1.4321179999999999E-2</v>
      </c>
      <c r="L2">
        <f>J2*9</f>
        <v>7.4213668751693135E-2</v>
      </c>
    </row>
    <row r="3" spans="1:12" x14ac:dyDescent="0.4">
      <c r="A3" t="s">
        <v>1</v>
      </c>
      <c r="B3">
        <v>1</v>
      </c>
      <c r="C3">
        <v>0</v>
      </c>
      <c r="D3">
        <v>19</v>
      </c>
      <c r="E3">
        <v>0</v>
      </c>
      <c r="F3">
        <v>1</v>
      </c>
      <c r="G3">
        <v>0</v>
      </c>
      <c r="H3">
        <v>420</v>
      </c>
      <c r="I3">
        <v>-4051.34810077156</v>
      </c>
      <c r="J3">
        <v>8.1947328341869397E-3</v>
      </c>
      <c r="K3">
        <v>1.4676410000000001E-2</v>
      </c>
      <c r="L3">
        <f t="shared" ref="L3:L23" si="0">J3*9</f>
        <v>7.3752595507682456E-2</v>
      </c>
    </row>
    <row r="4" spans="1:12" x14ac:dyDescent="0.4">
      <c r="A4" t="s">
        <v>1</v>
      </c>
      <c r="B4">
        <v>2</v>
      </c>
      <c r="C4">
        <v>0</v>
      </c>
      <c r="D4">
        <v>0</v>
      </c>
      <c r="E4">
        <v>0</v>
      </c>
      <c r="F4">
        <v>1</v>
      </c>
      <c r="G4">
        <v>0</v>
      </c>
      <c r="H4">
        <v>420</v>
      </c>
      <c r="I4">
        <v>-3571.7614020616802</v>
      </c>
      <c r="J4">
        <v>8.2527202408957598E-3</v>
      </c>
      <c r="K4">
        <v>1.547718E-2</v>
      </c>
      <c r="L4">
        <f t="shared" si="0"/>
        <v>7.4274482168061845E-2</v>
      </c>
    </row>
    <row r="5" spans="1:12" x14ac:dyDescent="0.4">
      <c r="A5" t="s">
        <v>1</v>
      </c>
      <c r="B5">
        <v>2</v>
      </c>
      <c r="C5">
        <v>0</v>
      </c>
      <c r="D5">
        <v>1</v>
      </c>
      <c r="E5">
        <v>0</v>
      </c>
      <c r="F5">
        <v>1</v>
      </c>
      <c r="G5">
        <v>0</v>
      </c>
      <c r="H5">
        <v>420</v>
      </c>
      <c r="I5">
        <v>-3618.37464088449</v>
      </c>
      <c r="J5">
        <v>8.2542804629200002E-3</v>
      </c>
      <c r="K5">
        <v>1.4859259999999999E-2</v>
      </c>
      <c r="L5">
        <f t="shared" si="0"/>
        <v>7.4288524166279998E-2</v>
      </c>
    </row>
    <row r="6" spans="1:12" x14ac:dyDescent="0.4">
      <c r="A6" t="s">
        <v>1</v>
      </c>
      <c r="B6">
        <v>2</v>
      </c>
      <c r="C6">
        <v>0</v>
      </c>
      <c r="D6">
        <v>2</v>
      </c>
      <c r="E6">
        <v>0</v>
      </c>
      <c r="F6">
        <v>1</v>
      </c>
      <c r="G6">
        <v>0</v>
      </c>
      <c r="H6">
        <v>420</v>
      </c>
      <c r="I6">
        <v>-3912.2077331016299</v>
      </c>
      <c r="J6">
        <v>8.2283570868097802E-3</v>
      </c>
      <c r="K6">
        <v>1.47276E-2</v>
      </c>
      <c r="L6">
        <f t="shared" si="0"/>
        <v>7.4055213781288015E-2</v>
      </c>
    </row>
    <row r="7" spans="1:12" x14ac:dyDescent="0.4">
      <c r="A7" t="s">
        <v>1</v>
      </c>
      <c r="B7">
        <v>2</v>
      </c>
      <c r="C7">
        <v>0</v>
      </c>
      <c r="D7">
        <v>3</v>
      </c>
      <c r="E7">
        <v>0</v>
      </c>
      <c r="F7">
        <v>1</v>
      </c>
      <c r="G7">
        <v>0</v>
      </c>
      <c r="H7">
        <v>420</v>
      </c>
      <c r="I7">
        <v>-3989.66275912536</v>
      </c>
      <c r="J7">
        <v>8.2205758245505692E-3</v>
      </c>
      <c r="K7">
        <v>1.4640190000000001E-2</v>
      </c>
      <c r="L7">
        <f t="shared" si="0"/>
        <v>7.3985182420955128E-2</v>
      </c>
    </row>
    <row r="8" spans="1:12" x14ac:dyDescent="0.4">
      <c r="A8" t="s">
        <v>1</v>
      </c>
      <c r="B8">
        <v>2</v>
      </c>
      <c r="C8">
        <v>0</v>
      </c>
      <c r="D8">
        <v>4</v>
      </c>
      <c r="E8">
        <v>0</v>
      </c>
      <c r="F8">
        <v>1</v>
      </c>
      <c r="G8">
        <v>0</v>
      </c>
      <c r="H8">
        <v>420</v>
      </c>
      <c r="I8">
        <v>-4065.61435022143</v>
      </c>
      <c r="J8">
        <v>8.2162574187361805E-3</v>
      </c>
      <c r="K8">
        <v>1.4646859999999999E-2</v>
      </c>
      <c r="L8">
        <f t="shared" si="0"/>
        <v>7.394631676862562E-2</v>
      </c>
    </row>
    <row r="9" spans="1:12" x14ac:dyDescent="0.4">
      <c r="A9" t="s">
        <v>1</v>
      </c>
      <c r="B9">
        <v>2</v>
      </c>
      <c r="C9">
        <v>0</v>
      </c>
      <c r="D9">
        <v>18</v>
      </c>
      <c r="E9">
        <v>0</v>
      </c>
      <c r="F9">
        <v>1</v>
      </c>
      <c r="G9">
        <v>0</v>
      </c>
      <c r="H9">
        <v>420</v>
      </c>
      <c r="I9">
        <v>-4082.5080815756201</v>
      </c>
      <c r="J9">
        <v>8.1804568538655798E-3</v>
      </c>
      <c r="K9">
        <v>1.45769E-2</v>
      </c>
      <c r="L9">
        <f t="shared" si="0"/>
        <v>7.3624111684790217E-2</v>
      </c>
    </row>
    <row r="10" spans="1:12" x14ac:dyDescent="0.4">
      <c r="A10" t="s">
        <v>1</v>
      </c>
      <c r="B10">
        <v>2</v>
      </c>
      <c r="C10">
        <v>0</v>
      </c>
      <c r="D10">
        <v>19</v>
      </c>
      <c r="E10">
        <v>0</v>
      </c>
      <c r="F10">
        <v>1</v>
      </c>
      <c r="G10">
        <v>0</v>
      </c>
      <c r="H10">
        <v>413</v>
      </c>
      <c r="I10">
        <v>-4541.2462672641796</v>
      </c>
      <c r="J10">
        <v>0.1272993</v>
      </c>
      <c r="K10">
        <v>1.4859259999999999E-2</v>
      </c>
      <c r="L10">
        <f t="shared" si="0"/>
        <v>1.1456937</v>
      </c>
    </row>
    <row r="11" spans="1:12" x14ac:dyDescent="0.4">
      <c r="A11" t="s">
        <v>1</v>
      </c>
      <c r="B11">
        <v>2</v>
      </c>
      <c r="C11">
        <v>0</v>
      </c>
      <c r="D11">
        <v>19</v>
      </c>
      <c r="E11">
        <v>0</v>
      </c>
      <c r="F11">
        <v>1</v>
      </c>
      <c r="G11">
        <v>0</v>
      </c>
      <c r="H11">
        <v>414</v>
      </c>
      <c r="I11">
        <v>-4467.014599305</v>
      </c>
      <c r="J11">
        <v>8.1142640738316001E-3</v>
      </c>
      <c r="K11">
        <v>6.5704609999999997E-2</v>
      </c>
      <c r="L11">
        <f t="shared" si="0"/>
        <v>7.3028376664484404E-2</v>
      </c>
    </row>
    <row r="12" spans="1:12" x14ac:dyDescent="0.4">
      <c r="A12" t="s">
        <v>1</v>
      </c>
      <c r="B12">
        <v>2</v>
      </c>
      <c r="C12">
        <v>0</v>
      </c>
      <c r="D12">
        <v>19</v>
      </c>
      <c r="E12">
        <v>0</v>
      </c>
      <c r="F12">
        <v>1</v>
      </c>
      <c r="G12">
        <v>0</v>
      </c>
      <c r="H12">
        <v>420</v>
      </c>
      <c r="I12">
        <v>-7694.7310490258797</v>
      </c>
      <c r="J12">
        <v>3.6949200201166803E-5</v>
      </c>
      <c r="K12">
        <v>1.473297E-2</v>
      </c>
      <c r="L12">
        <f t="shared" si="0"/>
        <v>3.3254280181050126E-4</v>
      </c>
    </row>
    <row r="13" spans="1:12" x14ac:dyDescent="0.4">
      <c r="A13" t="s">
        <v>1</v>
      </c>
      <c r="B13">
        <v>2</v>
      </c>
      <c r="C13">
        <v>0</v>
      </c>
      <c r="D13">
        <v>20</v>
      </c>
      <c r="E13">
        <v>0</v>
      </c>
      <c r="F13">
        <v>1</v>
      </c>
      <c r="G13">
        <v>0</v>
      </c>
      <c r="H13">
        <v>420</v>
      </c>
      <c r="I13">
        <v>-4144.8756610341297</v>
      </c>
      <c r="J13">
        <v>8.17089489150199E-3</v>
      </c>
      <c r="K13">
        <v>1.537986E-2</v>
      </c>
      <c r="L13">
        <f t="shared" si="0"/>
        <v>7.3538054023517915E-2</v>
      </c>
    </row>
    <row r="14" spans="1:12" x14ac:dyDescent="0.4">
      <c r="A14" t="s">
        <v>1</v>
      </c>
      <c r="B14">
        <v>3</v>
      </c>
      <c r="C14">
        <v>0</v>
      </c>
      <c r="D14">
        <v>0</v>
      </c>
      <c r="E14">
        <v>0</v>
      </c>
      <c r="F14">
        <v>1</v>
      </c>
      <c r="G14">
        <v>0</v>
      </c>
      <c r="H14">
        <v>420</v>
      </c>
      <c r="I14">
        <v>-3931.9196921006601</v>
      </c>
      <c r="J14">
        <v>8.2293000594802507E-3</v>
      </c>
      <c r="K14">
        <v>1.4553719999999999E-2</v>
      </c>
      <c r="L14">
        <f t="shared" si="0"/>
        <v>7.4063700535322255E-2</v>
      </c>
    </row>
    <row r="15" spans="1:12" x14ac:dyDescent="0.4">
      <c r="A15" t="s">
        <v>1</v>
      </c>
      <c r="B15">
        <v>3</v>
      </c>
      <c r="C15">
        <v>0</v>
      </c>
      <c r="D15">
        <v>1</v>
      </c>
      <c r="E15">
        <v>0</v>
      </c>
      <c r="F15">
        <v>1</v>
      </c>
      <c r="G15">
        <v>0</v>
      </c>
      <c r="H15">
        <v>420</v>
      </c>
      <c r="I15">
        <v>-3640.3417435886599</v>
      </c>
      <c r="J15">
        <v>8.2129394688942193E-3</v>
      </c>
      <c r="K15">
        <v>1.5929240000000001E-2</v>
      </c>
      <c r="L15">
        <f t="shared" si="0"/>
        <v>7.3916455220047972E-2</v>
      </c>
    </row>
    <row r="16" spans="1:12" x14ac:dyDescent="0.4">
      <c r="A16" t="s">
        <v>1</v>
      </c>
      <c r="B16">
        <v>3</v>
      </c>
      <c r="C16">
        <v>0</v>
      </c>
      <c r="D16">
        <v>2</v>
      </c>
      <c r="E16">
        <v>0</v>
      </c>
      <c r="F16">
        <v>1</v>
      </c>
      <c r="G16">
        <v>0</v>
      </c>
      <c r="H16">
        <v>420</v>
      </c>
      <c r="I16">
        <v>-4189.1949008851097</v>
      </c>
      <c r="J16">
        <v>8.2190901437321894E-3</v>
      </c>
      <c r="K16">
        <v>1.4391920000000001E-2</v>
      </c>
      <c r="L16">
        <f t="shared" si="0"/>
        <v>7.3971811293589707E-2</v>
      </c>
    </row>
    <row r="17" spans="1:12" x14ac:dyDescent="0.4">
      <c r="A17" t="s">
        <v>1</v>
      </c>
      <c r="B17">
        <v>3</v>
      </c>
      <c r="C17">
        <v>0</v>
      </c>
      <c r="D17">
        <v>3</v>
      </c>
      <c r="E17">
        <v>0</v>
      </c>
      <c r="F17">
        <v>1</v>
      </c>
      <c r="G17">
        <v>0</v>
      </c>
      <c r="H17">
        <v>420</v>
      </c>
      <c r="I17">
        <v>-4217.9436673355804</v>
      </c>
      <c r="J17">
        <v>8.2115799841661202E-3</v>
      </c>
      <c r="K17">
        <v>1.4400629999999999E-2</v>
      </c>
      <c r="L17">
        <f t="shared" si="0"/>
        <v>7.3904219857495082E-2</v>
      </c>
    </row>
    <row r="18" spans="1:12" x14ac:dyDescent="0.4">
      <c r="A18" t="s">
        <v>1</v>
      </c>
      <c r="B18">
        <v>3</v>
      </c>
      <c r="C18">
        <v>0</v>
      </c>
      <c r="D18">
        <v>19</v>
      </c>
      <c r="E18">
        <v>0</v>
      </c>
      <c r="F18">
        <v>1</v>
      </c>
      <c r="G18">
        <v>0</v>
      </c>
      <c r="H18">
        <v>420</v>
      </c>
      <c r="I18">
        <v>-4172.49493108152</v>
      </c>
      <c r="J18">
        <v>8.1294198600000006E-3</v>
      </c>
      <c r="K18">
        <v>1.7663689999999999E-2</v>
      </c>
      <c r="L18">
        <f t="shared" si="0"/>
        <v>7.3164778740000005E-2</v>
      </c>
    </row>
    <row r="19" spans="1:12" x14ac:dyDescent="0.4">
      <c r="A19" t="s">
        <v>1</v>
      </c>
      <c r="B19">
        <v>4</v>
      </c>
      <c r="C19">
        <v>0</v>
      </c>
      <c r="D19">
        <v>0</v>
      </c>
      <c r="E19">
        <v>0</v>
      </c>
      <c r="F19">
        <v>1</v>
      </c>
      <c r="G19">
        <v>0</v>
      </c>
      <c r="H19">
        <v>420</v>
      </c>
      <c r="I19">
        <v>-4098.5871409536003</v>
      </c>
      <c r="J19">
        <v>8.2258811896506606E-3</v>
      </c>
      <c r="K19">
        <v>1.437975E-2</v>
      </c>
      <c r="L19">
        <f t="shared" si="0"/>
        <v>7.4032930706855946E-2</v>
      </c>
    </row>
    <row r="20" spans="1:12" x14ac:dyDescent="0.4">
      <c r="A20" t="s">
        <v>1</v>
      </c>
      <c r="B20">
        <v>4</v>
      </c>
      <c r="C20">
        <v>0</v>
      </c>
      <c r="D20">
        <v>1</v>
      </c>
      <c r="E20">
        <v>0</v>
      </c>
      <c r="F20">
        <v>1</v>
      </c>
      <c r="G20">
        <v>0</v>
      </c>
      <c r="H20">
        <v>420</v>
      </c>
      <c r="I20">
        <v>-4017.3439318379601</v>
      </c>
      <c r="J20">
        <v>8.2255764318029407E-3</v>
      </c>
      <c r="K20">
        <v>1.4467529999999999E-2</v>
      </c>
      <c r="L20">
        <f t="shared" si="0"/>
        <v>7.4030187886226465E-2</v>
      </c>
    </row>
    <row r="21" spans="1:12" x14ac:dyDescent="0.4">
      <c r="A21" t="s">
        <v>1</v>
      </c>
      <c r="B21">
        <v>4</v>
      </c>
      <c r="C21">
        <v>0</v>
      </c>
      <c r="D21">
        <v>2</v>
      </c>
      <c r="E21">
        <v>0</v>
      </c>
      <c r="F21">
        <v>1</v>
      </c>
      <c r="G21">
        <v>0</v>
      </c>
      <c r="H21">
        <v>420</v>
      </c>
      <c r="I21">
        <v>-4230.7513346317401</v>
      </c>
      <c r="J21">
        <v>8.2155623797748097E-3</v>
      </c>
      <c r="K21">
        <v>1.4395689999999999E-2</v>
      </c>
      <c r="L21">
        <f t="shared" si="0"/>
        <v>7.3940061417973282E-2</v>
      </c>
    </row>
    <row r="22" spans="1:12" x14ac:dyDescent="0.4">
      <c r="A22" t="s">
        <v>1</v>
      </c>
      <c r="B22">
        <v>4</v>
      </c>
      <c r="C22">
        <v>0</v>
      </c>
      <c r="D22">
        <v>3</v>
      </c>
      <c r="E22">
        <v>0</v>
      </c>
      <c r="F22">
        <v>1</v>
      </c>
      <c r="G22">
        <v>0</v>
      </c>
      <c r="H22">
        <v>420</v>
      </c>
      <c r="I22">
        <v>-4177.4816363770997</v>
      </c>
      <c r="J22">
        <v>8.2154354003891698E-3</v>
      </c>
      <c r="K22">
        <v>1.4381400000000001E-2</v>
      </c>
      <c r="L22">
        <f t="shared" si="0"/>
        <v>7.3938918603502532E-2</v>
      </c>
    </row>
    <row r="23" spans="1:12" x14ac:dyDescent="0.4">
      <c r="A23" t="s">
        <v>1</v>
      </c>
      <c r="B23">
        <v>5</v>
      </c>
      <c r="C23">
        <v>0</v>
      </c>
      <c r="D23">
        <v>0</v>
      </c>
      <c r="E23">
        <v>0</v>
      </c>
      <c r="F23">
        <v>1</v>
      </c>
      <c r="G23">
        <v>0</v>
      </c>
      <c r="H23">
        <v>420</v>
      </c>
      <c r="I23">
        <v>-4088.9784746953601</v>
      </c>
      <c r="J23">
        <v>8.2261043652564706E-3</v>
      </c>
      <c r="K23">
        <v>1.438643E-2</v>
      </c>
      <c r="L23">
        <f t="shared" si="0"/>
        <v>7.4034939287308241E-2</v>
      </c>
    </row>
    <row r="24" spans="1:12" x14ac:dyDescent="0.4">
      <c r="A24" t="s">
        <v>9</v>
      </c>
      <c r="J24">
        <v>3.03789104275464E-2</v>
      </c>
      <c r="K24">
        <v>2.6693999999999999E-2</v>
      </c>
    </row>
    <row r="25" spans="1:12" x14ac:dyDescent="0.4">
      <c r="A25" t="s">
        <v>10</v>
      </c>
      <c r="J25">
        <v>0.51278797662556297</v>
      </c>
      <c r="K25">
        <v>5.6573999999999999E-2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A4C8-6BE3-4BAE-AA6A-75E36617293D}">
  <sheetPr codeName="Sheet3"/>
  <dimension ref="A1:J287"/>
  <sheetViews>
    <sheetView workbookViewId="0">
      <selection activeCell="E1" sqref="E1:J35"/>
    </sheetView>
  </sheetViews>
  <sheetFormatPr defaultRowHeight="13.9" x14ac:dyDescent="0.4"/>
  <sheetData>
    <row r="1" spans="1:10" x14ac:dyDescent="0.4">
      <c r="A1" s="4" t="s">
        <v>14</v>
      </c>
      <c r="B1" t="s">
        <v>15</v>
      </c>
      <c r="D1" t="s">
        <v>15</v>
      </c>
      <c r="E1">
        <v>-277.89530729033299</v>
      </c>
      <c r="F1">
        <v>2.9125225000000001E-2</v>
      </c>
      <c r="G1">
        <v>1.4478975E-2</v>
      </c>
      <c r="H1">
        <v>3141260740092.6001</v>
      </c>
      <c r="I1">
        <v>7.7835000000000001E-2</v>
      </c>
      <c r="J1">
        <v>0.32404159128406301</v>
      </c>
    </row>
    <row r="2" spans="1:10" x14ac:dyDescent="0.4">
      <c r="A2" s="5" t="s">
        <v>16</v>
      </c>
      <c r="B2">
        <v>-277.89530729033299</v>
      </c>
      <c r="D2" t="s">
        <v>22</v>
      </c>
      <c r="E2">
        <v>-1050.03568098096</v>
      </c>
      <c r="F2">
        <v>1.36679639992756E-2</v>
      </c>
      <c r="G2">
        <v>1.4478700741024199E-2</v>
      </c>
      <c r="H2">
        <v>3141260740092.5898</v>
      </c>
      <c r="I2">
        <v>7.7818021246785399E-2</v>
      </c>
      <c r="J2">
        <v>0.32405439520567098</v>
      </c>
    </row>
    <row r="3" spans="1:10" x14ac:dyDescent="0.4">
      <c r="A3" s="5" t="s">
        <v>17</v>
      </c>
      <c r="B3">
        <v>2.9125225000000001E-2</v>
      </c>
      <c r="D3" t="s">
        <v>23</v>
      </c>
      <c r="E3">
        <v>-1733.08817034904</v>
      </c>
      <c r="F3">
        <v>9.8586604025756204E-3</v>
      </c>
      <c r="G3">
        <v>1.44814613477543E-2</v>
      </c>
      <c r="H3">
        <v>3141260740092.5898</v>
      </c>
      <c r="I3">
        <v>7.7817750874190295E-2</v>
      </c>
      <c r="J3">
        <v>0.323925514857966</v>
      </c>
    </row>
    <row r="4" spans="1:10" x14ac:dyDescent="0.4">
      <c r="A4" s="4" t="s">
        <v>18</v>
      </c>
      <c r="B4">
        <v>1.4478975E-2</v>
      </c>
      <c r="D4" t="s">
        <v>24</v>
      </c>
      <c r="E4">
        <v>-2290.7756974581098</v>
      </c>
      <c r="F4">
        <v>8.8189319654938293E-3</v>
      </c>
      <c r="G4">
        <v>1.44883578160284E-2</v>
      </c>
      <c r="H4">
        <v>3141260740092.5898</v>
      </c>
      <c r="I4">
        <v>7.7842486232244906E-2</v>
      </c>
      <c r="J4">
        <v>0.32360354968292199</v>
      </c>
    </row>
    <row r="5" spans="1:10" x14ac:dyDescent="0.4">
      <c r="A5" s="4" t="s">
        <v>59</v>
      </c>
      <c r="B5">
        <v>3141260740092.6001</v>
      </c>
      <c r="D5" t="s">
        <v>25</v>
      </c>
      <c r="E5">
        <v>-2668.8606937016598</v>
      </c>
      <c r="F5">
        <v>8.5130391333612006E-3</v>
      </c>
      <c r="G5">
        <v>1.44873837805419E-2</v>
      </c>
      <c r="H5">
        <v>3141260740092.5898</v>
      </c>
      <c r="I5">
        <v>7.7838828730203896E-2</v>
      </c>
      <c r="J5">
        <v>0.32364902303151799</v>
      </c>
    </row>
    <row r="6" spans="1:10" x14ac:dyDescent="0.4">
      <c r="A6" s="4" t="s">
        <v>20</v>
      </c>
      <c r="B6">
        <v>7.7835000000000001E-2</v>
      </c>
      <c r="D6" t="s">
        <v>26</v>
      </c>
      <c r="E6">
        <v>-2820.6745025445598</v>
      </c>
      <c r="F6">
        <v>8.4365542542425807E-3</v>
      </c>
      <c r="G6">
        <v>1.44883841681425E-2</v>
      </c>
      <c r="H6">
        <v>3141260740092.5898</v>
      </c>
      <c r="I6">
        <v>7.7843378444436104E-2</v>
      </c>
      <c r="J6">
        <v>0.32360231942089701</v>
      </c>
    </row>
    <row r="7" spans="1:10" x14ac:dyDescent="0.4">
      <c r="A7" s="4" t="s">
        <v>21</v>
      </c>
      <c r="B7">
        <v>0.32404159128406301</v>
      </c>
      <c r="D7" t="s">
        <v>27</v>
      </c>
      <c r="E7">
        <v>-2024.2373285379799</v>
      </c>
      <c r="F7">
        <v>9.2019506346792696E-3</v>
      </c>
      <c r="G7">
        <v>1.42223476129456E-2</v>
      </c>
      <c r="H7">
        <v>2319176420110.1899</v>
      </c>
      <c r="I7">
        <v>7.6071325572996604E-2</v>
      </c>
      <c r="J7">
        <v>0.336022373085688</v>
      </c>
    </row>
    <row r="8" spans="1:10" x14ac:dyDescent="0.4">
      <c r="A8" s="3"/>
      <c r="D8" t="s">
        <v>28</v>
      </c>
      <c r="E8">
        <v>-2683.5422253690099</v>
      </c>
      <c r="F8">
        <v>8.5066727629815493E-3</v>
      </c>
      <c r="G8">
        <v>1.4210967449665501E-2</v>
      </c>
      <c r="H8">
        <v>2492270503111.0898</v>
      </c>
      <c r="I8">
        <v>7.6229942853178106E-2</v>
      </c>
      <c r="J8">
        <v>0.33655366187247998</v>
      </c>
    </row>
    <row r="9" spans="1:10" x14ac:dyDescent="0.4">
      <c r="A9" s="4" t="s">
        <v>14</v>
      </c>
      <c r="B9" t="s">
        <v>22</v>
      </c>
      <c r="D9" t="s">
        <v>29</v>
      </c>
      <c r="E9">
        <v>-3101.5012894574802</v>
      </c>
      <c r="F9">
        <v>8.3395785494182594E-3</v>
      </c>
      <c r="G9">
        <v>1.4210087095726701E-2</v>
      </c>
      <c r="H9">
        <v>2607313826446.5298</v>
      </c>
      <c r="I9">
        <v>7.6305804378362097E-2</v>
      </c>
      <c r="J9">
        <v>0.336594761649749</v>
      </c>
    </row>
    <row r="10" spans="1:10" x14ac:dyDescent="0.4">
      <c r="A10" s="5" t="s">
        <v>16</v>
      </c>
      <c r="B10">
        <v>-1050.03568098096</v>
      </c>
      <c r="D10" t="s">
        <v>30</v>
      </c>
      <c r="E10">
        <v>-3398.0655723124801</v>
      </c>
      <c r="F10">
        <v>8.2767855971997793E-3</v>
      </c>
      <c r="G10">
        <v>1.42773253295468E-2</v>
      </c>
      <c r="H10">
        <v>2801159201163.6899</v>
      </c>
      <c r="I10">
        <v>7.67820512906838E-2</v>
      </c>
      <c r="J10">
        <v>0.33345571005680902</v>
      </c>
    </row>
    <row r="11" spans="1:10" x14ac:dyDescent="0.4">
      <c r="A11" s="5" t="s">
        <v>17</v>
      </c>
      <c r="B11">
        <v>1.36679639992756E-2</v>
      </c>
      <c r="D11" t="s">
        <v>31</v>
      </c>
      <c r="E11">
        <v>-3607.9491476145299</v>
      </c>
      <c r="F11">
        <v>8.2480839226156608E-3</v>
      </c>
      <c r="G11">
        <v>1.4332526102250101E-2</v>
      </c>
      <c r="H11">
        <v>2912523535412.4302</v>
      </c>
      <c r="I11">
        <v>7.7136757098835398E-2</v>
      </c>
      <c r="J11">
        <v>0.33087863353886299</v>
      </c>
    </row>
    <row r="12" spans="1:10" x14ac:dyDescent="0.4">
      <c r="A12" s="4" t="s">
        <v>18</v>
      </c>
      <c r="B12">
        <v>1.4478700741024199E-2</v>
      </c>
      <c r="D12" t="s">
        <v>32</v>
      </c>
      <c r="E12">
        <v>-3521.7034752302302</v>
      </c>
      <c r="F12">
        <v>8.2586988702487395E-3</v>
      </c>
      <c r="G12">
        <v>1.4382689803976299E-2</v>
      </c>
      <c r="H12">
        <v>3020985638495.23</v>
      </c>
      <c r="I12">
        <v>7.7371485100594301E-2</v>
      </c>
      <c r="J12">
        <v>0.32853671527502698</v>
      </c>
    </row>
    <row r="13" spans="1:10" x14ac:dyDescent="0.4">
      <c r="A13" s="4" t="s">
        <v>59</v>
      </c>
      <c r="B13">
        <v>3141260740092.5898</v>
      </c>
      <c r="D13" t="s">
        <v>33</v>
      </c>
      <c r="E13">
        <v>-3575.5202337382302</v>
      </c>
      <c r="F13">
        <v>8.2519931304484307E-3</v>
      </c>
      <c r="G13">
        <v>1.5483131443386901E-2</v>
      </c>
      <c r="H13">
        <v>3452653556287.6201</v>
      </c>
      <c r="I13">
        <v>8.2099168333676698E-2</v>
      </c>
      <c r="J13">
        <v>0.27716203029485598</v>
      </c>
    </row>
    <row r="14" spans="1:10" x14ac:dyDescent="0.4">
      <c r="A14" s="4" t="s">
        <v>20</v>
      </c>
      <c r="B14">
        <v>7.7818021246785399E-2</v>
      </c>
      <c r="D14" t="s">
        <v>34</v>
      </c>
      <c r="E14">
        <v>-3616.2587458582402</v>
      </c>
      <c r="F14">
        <v>8.2476919995808102E-3</v>
      </c>
      <c r="G14">
        <v>1.4866794977501799E-2</v>
      </c>
      <c r="H14">
        <v>3265883529206.9502</v>
      </c>
      <c r="I14">
        <v>7.9464734362053105E-2</v>
      </c>
      <c r="J14">
        <v>0.305936015795438</v>
      </c>
    </row>
    <row r="15" spans="1:10" x14ac:dyDescent="0.4">
      <c r="A15" s="4" t="s">
        <v>21</v>
      </c>
      <c r="B15">
        <v>0.32405439520567098</v>
      </c>
      <c r="D15" t="s">
        <v>35</v>
      </c>
      <c r="E15">
        <v>-3860.9520067036801</v>
      </c>
      <c r="F15">
        <v>8.22539972080941E-3</v>
      </c>
      <c r="G15">
        <v>1.4715979187775299E-2</v>
      </c>
      <c r="H15">
        <v>3209921300778.1899</v>
      </c>
      <c r="I15">
        <v>7.8860688541687193E-2</v>
      </c>
      <c r="J15">
        <v>0.31297692865237398</v>
      </c>
    </row>
    <row r="16" spans="1:10" x14ac:dyDescent="0.4">
      <c r="A16" s="3"/>
      <c r="D16" t="s">
        <v>36</v>
      </c>
      <c r="E16">
        <v>-3977.56835399275</v>
      </c>
      <c r="F16">
        <v>8.2177463109226901E-3</v>
      </c>
      <c r="G16">
        <v>1.4652003706634401E-2</v>
      </c>
      <c r="H16">
        <v>3242404493385.3999</v>
      </c>
      <c r="I16">
        <v>7.8591742264904299E-2</v>
      </c>
      <c r="J16">
        <v>0.31596365695522999</v>
      </c>
    </row>
    <row r="17" spans="1:10" x14ac:dyDescent="0.4">
      <c r="A17" s="4" t="s">
        <v>14</v>
      </c>
      <c r="B17" t="s">
        <v>23</v>
      </c>
      <c r="D17" t="s">
        <v>37</v>
      </c>
      <c r="E17">
        <v>-3959.1459853285901</v>
      </c>
      <c r="F17">
        <v>8.2185276109303495E-3</v>
      </c>
      <c r="G17">
        <v>1.4663324601653699E-2</v>
      </c>
      <c r="H17">
        <v>3265120337982.3599</v>
      </c>
      <c r="I17">
        <v>7.8715401147199507E-2</v>
      </c>
      <c r="J17">
        <v>0.31543513513773502</v>
      </c>
    </row>
    <row r="18" spans="1:10" x14ac:dyDescent="0.4">
      <c r="A18" s="5" t="s">
        <v>16</v>
      </c>
      <c r="B18">
        <v>-1733.08817034904</v>
      </c>
      <c r="D18" t="s">
        <v>38</v>
      </c>
      <c r="E18">
        <v>-3992.5993038736801</v>
      </c>
      <c r="F18">
        <v>8.2164904067443499E-3</v>
      </c>
      <c r="G18">
        <v>1.46023394130888E-2</v>
      </c>
      <c r="H18">
        <v>3249819287043.71</v>
      </c>
      <c r="I18">
        <v>7.84579790779701E-2</v>
      </c>
      <c r="J18">
        <v>0.31828226009082</v>
      </c>
    </row>
    <row r="19" spans="1:10" x14ac:dyDescent="0.4">
      <c r="A19" s="5" t="s">
        <v>17</v>
      </c>
      <c r="B19">
        <v>9.8586604025756204E-3</v>
      </c>
      <c r="D19" t="s">
        <v>39</v>
      </c>
      <c r="E19">
        <v>-3924.81802252632</v>
      </c>
      <c r="F19">
        <v>8.22127953785169E-3</v>
      </c>
      <c r="G19">
        <v>1.45593633181819E-2</v>
      </c>
      <c r="H19">
        <v>3204720889126.8999</v>
      </c>
      <c r="I19">
        <v>7.8286339212662107E-2</v>
      </c>
      <c r="J19">
        <v>0.32028862122660701</v>
      </c>
    </row>
    <row r="20" spans="1:10" x14ac:dyDescent="0.4">
      <c r="A20" s="4" t="s">
        <v>18</v>
      </c>
      <c r="B20">
        <v>1.44814613477543E-2</v>
      </c>
      <c r="D20" t="s">
        <v>40</v>
      </c>
      <c r="E20">
        <v>-3664.09466125772</v>
      </c>
      <c r="F20">
        <v>8.2419018318840402E-3</v>
      </c>
      <c r="G20">
        <v>1.4741171462492099E-2</v>
      </c>
      <c r="H20">
        <v>3295182572655.02</v>
      </c>
      <c r="I20">
        <v>7.90345314615368E-2</v>
      </c>
      <c r="J20">
        <v>0.31180081432594797</v>
      </c>
    </row>
    <row r="21" spans="1:10" x14ac:dyDescent="0.4">
      <c r="A21" s="4" t="s">
        <v>59</v>
      </c>
      <c r="B21">
        <v>3141260740092.5898</v>
      </c>
      <c r="D21" t="s">
        <v>41</v>
      </c>
      <c r="E21">
        <v>-4171.6095539494099</v>
      </c>
      <c r="F21">
        <v>8.2085052825102804E-3</v>
      </c>
      <c r="G21">
        <v>1.4379433162634901E-2</v>
      </c>
      <c r="H21">
        <v>2925237793231.04</v>
      </c>
      <c r="I21">
        <v>7.7245607215253503E-2</v>
      </c>
      <c r="J21">
        <v>0.32868875325415797</v>
      </c>
    </row>
    <row r="22" spans="1:10" x14ac:dyDescent="0.4">
      <c r="A22" s="4" t="s">
        <v>20</v>
      </c>
      <c r="B22">
        <v>7.7817750874190295E-2</v>
      </c>
      <c r="D22" t="s">
        <v>42</v>
      </c>
      <c r="E22">
        <v>-4210.8085348042996</v>
      </c>
      <c r="F22">
        <v>8.2066175473044494E-3</v>
      </c>
      <c r="G22">
        <v>1.4403344087546399E-2</v>
      </c>
      <c r="H22">
        <v>3005339693755.6299</v>
      </c>
      <c r="I22">
        <v>7.7458792763746898E-2</v>
      </c>
      <c r="J22">
        <v>0.32757245940365098</v>
      </c>
    </row>
    <row r="23" spans="1:10" x14ac:dyDescent="0.4">
      <c r="A23" s="4" t="s">
        <v>21</v>
      </c>
      <c r="B23">
        <v>0.323925514857966</v>
      </c>
      <c r="D23" t="s">
        <v>43</v>
      </c>
      <c r="E23">
        <v>-4165.3462765390605</v>
      </c>
      <c r="F23">
        <v>8.2087145244812802E-3</v>
      </c>
      <c r="G23">
        <v>1.4423451875279601E-2</v>
      </c>
      <c r="H23">
        <v>2998217593388.3701</v>
      </c>
      <c r="I23">
        <v>7.7512205433284104E-2</v>
      </c>
      <c r="J23">
        <v>0.32663371697202997</v>
      </c>
    </row>
    <row r="24" spans="1:10" x14ac:dyDescent="0.4">
      <c r="A24" s="3"/>
      <c r="D24" t="s">
        <v>44</v>
      </c>
      <c r="E24">
        <v>-3938.7738639603999</v>
      </c>
      <c r="F24">
        <v>8.2196507861068708E-3</v>
      </c>
      <c r="G24">
        <v>1.4465677130071899E-2</v>
      </c>
      <c r="H24">
        <v>3106891869533.3501</v>
      </c>
      <c r="I24">
        <v>7.7725080432774998E-2</v>
      </c>
      <c r="J24">
        <v>0.324662409193885</v>
      </c>
    </row>
    <row r="25" spans="1:10" x14ac:dyDescent="0.4">
      <c r="A25" s="4" t="s">
        <v>14</v>
      </c>
      <c r="B25" t="s">
        <v>24</v>
      </c>
      <c r="D25" t="s">
        <v>45</v>
      </c>
      <c r="E25">
        <v>-4092.3539474097302</v>
      </c>
      <c r="F25">
        <v>8.21206387347829E-3</v>
      </c>
      <c r="G25">
        <v>1.43854578389898E-2</v>
      </c>
      <c r="H25">
        <v>2623155434809.1602</v>
      </c>
      <c r="I25">
        <v>7.7216327061711207E-2</v>
      </c>
      <c r="J25">
        <v>0.32840748813408399</v>
      </c>
    </row>
    <row r="26" spans="1:10" x14ac:dyDescent="0.4">
      <c r="A26" s="5" t="s">
        <v>16</v>
      </c>
      <c r="B26">
        <v>-2290.7756974581098</v>
      </c>
      <c r="D26" t="s">
        <v>46</v>
      </c>
      <c r="E26">
        <v>-3981.2156221263599</v>
      </c>
      <c r="F26">
        <v>8.2176717450399093E-3</v>
      </c>
      <c r="G26">
        <v>1.44952111388635E-2</v>
      </c>
      <c r="H26">
        <v>3119980662223.4502</v>
      </c>
      <c r="I26">
        <v>7.7970213329077095E-2</v>
      </c>
      <c r="J26">
        <v>0.32328359877493401</v>
      </c>
    </row>
    <row r="27" spans="1:10" x14ac:dyDescent="0.4">
      <c r="A27" s="5" t="s">
        <v>17</v>
      </c>
      <c r="B27">
        <v>8.8189319654938293E-3</v>
      </c>
      <c r="D27" t="s">
        <v>47</v>
      </c>
      <c r="E27">
        <v>-4216.5237199799903</v>
      </c>
      <c r="F27">
        <v>8.2064769540261904E-3</v>
      </c>
      <c r="G27">
        <v>1.43875969940496E-2</v>
      </c>
      <c r="H27">
        <v>2966100174998.3501</v>
      </c>
      <c r="I27">
        <v>7.7312250678718594E-2</v>
      </c>
      <c r="J27">
        <v>0.32830762057783902</v>
      </c>
    </row>
    <row r="28" spans="1:10" x14ac:dyDescent="0.4">
      <c r="A28" s="4" t="s">
        <v>18</v>
      </c>
      <c r="B28">
        <v>1.44883578160284E-2</v>
      </c>
      <c r="D28" t="s">
        <v>48</v>
      </c>
      <c r="E28">
        <v>-4194.5802964803097</v>
      </c>
      <c r="F28">
        <v>8.2071846882808292E-3</v>
      </c>
      <c r="G28">
        <v>1.43878939701156E-2</v>
      </c>
      <c r="H28">
        <v>2967234460021.6899</v>
      </c>
      <c r="I28">
        <v>7.7380674448723097E-2</v>
      </c>
      <c r="J28">
        <v>0.32829375609716699</v>
      </c>
    </row>
    <row r="29" spans="1:10" x14ac:dyDescent="0.4">
      <c r="A29" s="4" t="s">
        <v>59</v>
      </c>
      <c r="B29">
        <v>3141260740092.5898</v>
      </c>
      <c r="D29" t="s">
        <v>49</v>
      </c>
      <c r="E29">
        <v>-4190.0210374559301</v>
      </c>
      <c r="F29">
        <v>8.2075715919628801E-3</v>
      </c>
      <c r="G29">
        <v>1.44077419428701E-2</v>
      </c>
      <c r="H29">
        <v>2978323128179.6201</v>
      </c>
      <c r="I29">
        <v>7.7426106757828905E-2</v>
      </c>
      <c r="J29">
        <v>0.32736714326170602</v>
      </c>
    </row>
    <row r="30" spans="1:10" x14ac:dyDescent="0.4">
      <c r="A30" s="4" t="s">
        <v>20</v>
      </c>
      <c r="B30">
        <v>7.7842486232244906E-2</v>
      </c>
      <c r="D30" t="s">
        <v>50</v>
      </c>
      <c r="E30">
        <v>-3764.8852976994799</v>
      </c>
      <c r="F30">
        <v>8.2326030702160307E-3</v>
      </c>
      <c r="G30">
        <v>1.4428826346471199E-2</v>
      </c>
      <c r="H30">
        <v>3055758293007.9102</v>
      </c>
      <c r="I30">
        <v>7.7608203794984398E-2</v>
      </c>
      <c r="J30">
        <v>0.32638280701504802</v>
      </c>
    </row>
    <row r="31" spans="1:10" x14ac:dyDescent="0.4">
      <c r="A31" s="4" t="s">
        <v>21</v>
      </c>
      <c r="B31">
        <v>0.32360354968292199</v>
      </c>
      <c r="D31" t="s">
        <v>51</v>
      </c>
      <c r="E31">
        <v>-4090.86893882815</v>
      </c>
      <c r="F31">
        <v>8.2120410795044306E-3</v>
      </c>
      <c r="G31">
        <v>1.43916942158665E-2</v>
      </c>
      <c r="H31">
        <v>2573853622388.0801</v>
      </c>
      <c r="I31">
        <v>7.7203367978659093E-2</v>
      </c>
      <c r="J31">
        <v>0.32811633966606701</v>
      </c>
    </row>
    <row r="32" spans="1:10" x14ac:dyDescent="0.4">
      <c r="A32" s="3"/>
      <c r="D32" t="s">
        <v>52</v>
      </c>
      <c r="E32">
        <v>-4075.48651420738</v>
      </c>
      <c r="F32">
        <v>8.2124015632448998E-3</v>
      </c>
      <c r="G32">
        <v>1.43498111734393E-2</v>
      </c>
      <c r="H32">
        <v>2782864599359.4702</v>
      </c>
      <c r="I32">
        <v>7.7067789018878605E-2</v>
      </c>
      <c r="J32">
        <v>0.33007167108360702</v>
      </c>
    </row>
    <row r="33" spans="1:10" x14ac:dyDescent="0.4">
      <c r="A33" s="4" t="s">
        <v>14</v>
      </c>
      <c r="B33" t="s">
        <v>25</v>
      </c>
      <c r="D33" t="s">
        <v>53</v>
      </c>
      <c r="E33">
        <v>-4017.5454954966699</v>
      </c>
      <c r="F33">
        <v>8.2156776117027104E-3</v>
      </c>
      <c r="G33">
        <v>1.4357928466574601E-2</v>
      </c>
      <c r="H33">
        <v>2798837508758.1401</v>
      </c>
      <c r="I33">
        <v>7.7067952087211705E-2</v>
      </c>
      <c r="J33">
        <v>0.32969271107084402</v>
      </c>
    </row>
    <row r="34" spans="1:10" x14ac:dyDescent="0.4">
      <c r="A34" s="5" t="s">
        <v>16</v>
      </c>
      <c r="B34">
        <v>-2668.8606937016598</v>
      </c>
      <c r="D34" t="s">
        <v>54</v>
      </c>
      <c r="E34">
        <v>-4215.2859789722797</v>
      </c>
      <c r="F34">
        <v>8.2062890924534393E-3</v>
      </c>
      <c r="G34">
        <v>1.44114441688378E-2</v>
      </c>
      <c r="H34">
        <v>3009824573669.9502</v>
      </c>
      <c r="I34">
        <v>7.7492516930213196E-2</v>
      </c>
      <c r="J34">
        <v>0.32719430293468799</v>
      </c>
    </row>
    <row r="35" spans="1:10" x14ac:dyDescent="0.4">
      <c r="A35" s="5" t="s">
        <v>17</v>
      </c>
      <c r="B35">
        <v>8.5130391333612006E-3</v>
      </c>
      <c r="D35" t="s">
        <v>55</v>
      </c>
      <c r="E35">
        <v>-4211.4817164857304</v>
      </c>
      <c r="F35">
        <v>8.2064064112174397E-3</v>
      </c>
      <c r="G35">
        <v>1.44007374079728E-2</v>
      </c>
      <c r="H35">
        <v>2990176794481.1802</v>
      </c>
      <c r="I35">
        <v>7.7439139825283193E-2</v>
      </c>
      <c r="J35">
        <v>0.32769415358273501</v>
      </c>
    </row>
    <row r="36" spans="1:10" x14ac:dyDescent="0.4">
      <c r="A36" s="4" t="s">
        <v>18</v>
      </c>
      <c r="B36">
        <v>1.44873837805419E-2</v>
      </c>
    </row>
    <row r="37" spans="1:10" x14ac:dyDescent="0.4">
      <c r="A37" s="4" t="s">
        <v>59</v>
      </c>
      <c r="B37">
        <v>3141260740092.5898</v>
      </c>
    </row>
    <row r="38" spans="1:10" x14ac:dyDescent="0.4">
      <c r="A38" s="4" t="s">
        <v>20</v>
      </c>
      <c r="B38">
        <v>7.7838828730203896E-2</v>
      </c>
    </row>
    <row r="39" spans="1:10" x14ac:dyDescent="0.4">
      <c r="A39" s="4" t="s">
        <v>21</v>
      </c>
      <c r="B39">
        <v>0.32364902303151799</v>
      </c>
    </row>
    <row r="40" spans="1:10" x14ac:dyDescent="0.4">
      <c r="A40" s="3"/>
    </row>
    <row r="41" spans="1:10" x14ac:dyDescent="0.4">
      <c r="A41" s="4" t="s">
        <v>14</v>
      </c>
      <c r="B41" t="s">
        <v>26</v>
      </c>
    </row>
    <row r="42" spans="1:10" x14ac:dyDescent="0.4">
      <c r="A42" s="5" t="s">
        <v>16</v>
      </c>
      <c r="B42">
        <v>-2820.6745025445598</v>
      </c>
    </row>
    <row r="43" spans="1:10" x14ac:dyDescent="0.4">
      <c r="A43" s="5" t="s">
        <v>17</v>
      </c>
      <c r="B43">
        <v>8.4365542542425807E-3</v>
      </c>
    </row>
    <row r="44" spans="1:10" x14ac:dyDescent="0.4">
      <c r="A44" s="4" t="s">
        <v>18</v>
      </c>
      <c r="B44">
        <v>1.44883841681425E-2</v>
      </c>
    </row>
    <row r="45" spans="1:10" x14ac:dyDescent="0.4">
      <c r="A45" s="4" t="s">
        <v>59</v>
      </c>
      <c r="B45">
        <v>3141260740092.5898</v>
      </c>
    </row>
    <row r="46" spans="1:10" x14ac:dyDescent="0.4">
      <c r="A46" s="4" t="s">
        <v>20</v>
      </c>
      <c r="B46">
        <v>7.7843378444436104E-2</v>
      </c>
    </row>
    <row r="47" spans="1:10" x14ac:dyDescent="0.4">
      <c r="A47" s="4" t="s">
        <v>21</v>
      </c>
      <c r="B47">
        <v>0.32360231942089701</v>
      </c>
    </row>
    <row r="48" spans="1:10" x14ac:dyDescent="0.4">
      <c r="A48" s="3"/>
    </row>
    <row r="49" spans="1:2" x14ac:dyDescent="0.4">
      <c r="A49" s="4" t="s">
        <v>14</v>
      </c>
      <c r="B49" t="s">
        <v>27</v>
      </c>
    </row>
    <row r="50" spans="1:2" x14ac:dyDescent="0.4">
      <c r="A50" s="5" t="s">
        <v>16</v>
      </c>
      <c r="B50">
        <v>-2024.2373285379799</v>
      </c>
    </row>
    <row r="51" spans="1:2" x14ac:dyDescent="0.4">
      <c r="A51" s="5" t="s">
        <v>17</v>
      </c>
      <c r="B51">
        <v>9.2019506346792696E-3</v>
      </c>
    </row>
    <row r="52" spans="1:2" x14ac:dyDescent="0.4">
      <c r="A52" s="4" t="s">
        <v>18</v>
      </c>
      <c r="B52">
        <v>1.42223476129456E-2</v>
      </c>
    </row>
    <row r="53" spans="1:2" x14ac:dyDescent="0.4">
      <c r="A53" s="4" t="s">
        <v>59</v>
      </c>
      <c r="B53">
        <v>2319176420110.1899</v>
      </c>
    </row>
    <row r="54" spans="1:2" x14ac:dyDescent="0.4">
      <c r="A54" s="4" t="s">
        <v>20</v>
      </c>
      <c r="B54">
        <v>7.6071325572996604E-2</v>
      </c>
    </row>
    <row r="55" spans="1:2" x14ac:dyDescent="0.4">
      <c r="A55" s="4" t="s">
        <v>21</v>
      </c>
      <c r="B55">
        <v>0.336022373085688</v>
      </c>
    </row>
    <row r="56" spans="1:2" x14ac:dyDescent="0.4">
      <c r="A56" s="3"/>
    </row>
    <row r="57" spans="1:2" x14ac:dyDescent="0.4">
      <c r="A57" s="4" t="s">
        <v>14</v>
      </c>
      <c r="B57" t="s">
        <v>28</v>
      </c>
    </row>
    <row r="58" spans="1:2" x14ac:dyDescent="0.4">
      <c r="A58" s="5" t="s">
        <v>16</v>
      </c>
      <c r="B58">
        <v>-2683.5422253690099</v>
      </c>
    </row>
    <row r="59" spans="1:2" x14ac:dyDescent="0.4">
      <c r="A59" s="5" t="s">
        <v>17</v>
      </c>
      <c r="B59">
        <v>8.5066727629815493E-3</v>
      </c>
    </row>
    <row r="60" spans="1:2" x14ac:dyDescent="0.4">
      <c r="A60" s="4" t="s">
        <v>18</v>
      </c>
      <c r="B60">
        <v>1.4210967449665501E-2</v>
      </c>
    </row>
    <row r="61" spans="1:2" x14ac:dyDescent="0.4">
      <c r="A61" s="4" t="s">
        <v>59</v>
      </c>
      <c r="B61">
        <v>2492270503111.0898</v>
      </c>
    </row>
    <row r="62" spans="1:2" x14ac:dyDescent="0.4">
      <c r="A62" s="4" t="s">
        <v>20</v>
      </c>
      <c r="B62">
        <v>7.6229942853178106E-2</v>
      </c>
    </row>
    <row r="63" spans="1:2" x14ac:dyDescent="0.4">
      <c r="A63" s="4" t="s">
        <v>21</v>
      </c>
      <c r="B63">
        <v>0.33655366187247998</v>
      </c>
    </row>
    <row r="64" spans="1:2" x14ac:dyDescent="0.4">
      <c r="A64" s="3"/>
    </row>
    <row r="65" spans="1:2" x14ac:dyDescent="0.4">
      <c r="A65" s="4" t="s">
        <v>14</v>
      </c>
      <c r="B65" t="s">
        <v>29</v>
      </c>
    </row>
    <row r="66" spans="1:2" x14ac:dyDescent="0.4">
      <c r="A66" s="5" t="s">
        <v>16</v>
      </c>
      <c r="B66">
        <v>-3101.5012894574802</v>
      </c>
    </row>
    <row r="67" spans="1:2" x14ac:dyDescent="0.4">
      <c r="A67" s="5" t="s">
        <v>17</v>
      </c>
      <c r="B67">
        <v>8.3395785494182594E-3</v>
      </c>
    </row>
    <row r="68" spans="1:2" x14ac:dyDescent="0.4">
      <c r="A68" s="4" t="s">
        <v>18</v>
      </c>
      <c r="B68">
        <v>1.4210087095726701E-2</v>
      </c>
    </row>
    <row r="69" spans="1:2" x14ac:dyDescent="0.4">
      <c r="A69" s="4" t="s">
        <v>59</v>
      </c>
      <c r="B69">
        <v>2607313826446.5298</v>
      </c>
    </row>
    <row r="70" spans="1:2" x14ac:dyDescent="0.4">
      <c r="A70" s="4" t="s">
        <v>20</v>
      </c>
      <c r="B70">
        <v>7.6305804378362097E-2</v>
      </c>
    </row>
    <row r="71" spans="1:2" x14ac:dyDescent="0.4">
      <c r="A71" s="4" t="s">
        <v>21</v>
      </c>
      <c r="B71">
        <v>0.336594761649749</v>
      </c>
    </row>
    <row r="72" spans="1:2" x14ac:dyDescent="0.4">
      <c r="A72" s="3"/>
    </row>
    <row r="73" spans="1:2" x14ac:dyDescent="0.4">
      <c r="A73" s="4" t="s">
        <v>14</v>
      </c>
      <c r="B73" t="s">
        <v>30</v>
      </c>
    </row>
    <row r="74" spans="1:2" x14ac:dyDescent="0.4">
      <c r="A74" s="5" t="s">
        <v>16</v>
      </c>
      <c r="B74">
        <v>-3398.0655723124801</v>
      </c>
    </row>
    <row r="75" spans="1:2" x14ac:dyDescent="0.4">
      <c r="A75" s="5" t="s">
        <v>17</v>
      </c>
      <c r="B75">
        <v>8.2767855971997793E-3</v>
      </c>
    </row>
    <row r="76" spans="1:2" x14ac:dyDescent="0.4">
      <c r="A76" s="4" t="s">
        <v>18</v>
      </c>
      <c r="B76">
        <v>1.42773253295468E-2</v>
      </c>
    </row>
    <row r="77" spans="1:2" x14ac:dyDescent="0.4">
      <c r="A77" s="4" t="s">
        <v>59</v>
      </c>
      <c r="B77">
        <v>2801159201163.6899</v>
      </c>
    </row>
    <row r="78" spans="1:2" x14ac:dyDescent="0.4">
      <c r="A78" s="4" t="s">
        <v>20</v>
      </c>
      <c r="B78">
        <v>7.67820512906838E-2</v>
      </c>
    </row>
    <row r="79" spans="1:2" x14ac:dyDescent="0.4">
      <c r="A79" s="4" t="s">
        <v>21</v>
      </c>
      <c r="B79">
        <v>0.33345571005680902</v>
      </c>
    </row>
    <row r="80" spans="1:2" x14ac:dyDescent="0.4">
      <c r="A80" s="3"/>
    </row>
    <row r="81" spans="1:2" x14ac:dyDescent="0.4">
      <c r="A81" s="4" t="s">
        <v>14</v>
      </c>
      <c r="B81" t="s">
        <v>31</v>
      </c>
    </row>
    <row r="82" spans="1:2" x14ac:dyDescent="0.4">
      <c r="A82" s="5" t="s">
        <v>16</v>
      </c>
      <c r="B82">
        <v>-3607.9491476145299</v>
      </c>
    </row>
    <row r="83" spans="1:2" x14ac:dyDescent="0.4">
      <c r="A83" s="5" t="s">
        <v>17</v>
      </c>
      <c r="B83">
        <v>8.2480839226156608E-3</v>
      </c>
    </row>
    <row r="84" spans="1:2" x14ac:dyDescent="0.4">
      <c r="A84" s="4" t="s">
        <v>18</v>
      </c>
      <c r="B84">
        <v>1.4332526102250101E-2</v>
      </c>
    </row>
    <row r="85" spans="1:2" x14ac:dyDescent="0.4">
      <c r="A85" s="4" t="s">
        <v>59</v>
      </c>
      <c r="B85">
        <v>2912523535412.4302</v>
      </c>
    </row>
    <row r="86" spans="1:2" x14ac:dyDescent="0.4">
      <c r="A86" s="4" t="s">
        <v>20</v>
      </c>
      <c r="B86">
        <v>7.7136757098835398E-2</v>
      </c>
    </row>
    <row r="87" spans="1:2" x14ac:dyDescent="0.4">
      <c r="A87" s="4" t="s">
        <v>21</v>
      </c>
      <c r="B87">
        <v>0.33087863353886299</v>
      </c>
    </row>
    <row r="88" spans="1:2" x14ac:dyDescent="0.4">
      <c r="A88" s="3"/>
    </row>
    <row r="89" spans="1:2" x14ac:dyDescent="0.4">
      <c r="A89" s="4" t="s">
        <v>14</v>
      </c>
      <c r="B89" t="s">
        <v>32</v>
      </c>
    </row>
    <row r="90" spans="1:2" x14ac:dyDescent="0.4">
      <c r="A90" s="5" t="s">
        <v>16</v>
      </c>
      <c r="B90">
        <v>-3521.7034752302302</v>
      </c>
    </row>
    <row r="91" spans="1:2" x14ac:dyDescent="0.4">
      <c r="A91" s="5" t="s">
        <v>17</v>
      </c>
      <c r="B91">
        <v>8.2586988702487395E-3</v>
      </c>
    </row>
    <row r="92" spans="1:2" x14ac:dyDescent="0.4">
      <c r="A92" s="4" t="s">
        <v>18</v>
      </c>
      <c r="B92">
        <v>1.4382689803976299E-2</v>
      </c>
    </row>
    <row r="93" spans="1:2" x14ac:dyDescent="0.4">
      <c r="A93" s="4" t="s">
        <v>59</v>
      </c>
      <c r="B93">
        <v>3020985638495.23</v>
      </c>
    </row>
    <row r="94" spans="1:2" x14ac:dyDescent="0.4">
      <c r="A94" s="4" t="s">
        <v>20</v>
      </c>
      <c r="B94">
        <v>7.7371485100594301E-2</v>
      </c>
    </row>
    <row r="95" spans="1:2" x14ac:dyDescent="0.4">
      <c r="A95" s="4" t="s">
        <v>21</v>
      </c>
      <c r="B95">
        <v>0.32853671527502698</v>
      </c>
    </row>
    <row r="96" spans="1:2" x14ac:dyDescent="0.4">
      <c r="A96" s="3"/>
    </row>
    <row r="97" spans="1:2" x14ac:dyDescent="0.4">
      <c r="A97" s="4" t="s">
        <v>14</v>
      </c>
      <c r="B97" t="s">
        <v>33</v>
      </c>
    </row>
    <row r="98" spans="1:2" x14ac:dyDescent="0.4">
      <c r="A98" s="5" t="s">
        <v>16</v>
      </c>
      <c r="B98">
        <v>-3575.5202337382302</v>
      </c>
    </row>
    <row r="99" spans="1:2" x14ac:dyDescent="0.4">
      <c r="A99" s="5" t="s">
        <v>17</v>
      </c>
      <c r="B99">
        <v>8.2519931304484307E-3</v>
      </c>
    </row>
    <row r="100" spans="1:2" x14ac:dyDescent="0.4">
      <c r="A100" s="4" t="s">
        <v>18</v>
      </c>
      <c r="B100">
        <v>1.5483131443386901E-2</v>
      </c>
    </row>
    <row r="101" spans="1:2" x14ac:dyDescent="0.4">
      <c r="A101" s="4" t="s">
        <v>59</v>
      </c>
      <c r="B101">
        <v>3452653556287.6201</v>
      </c>
    </row>
    <row r="102" spans="1:2" x14ac:dyDescent="0.4">
      <c r="A102" s="4" t="s">
        <v>20</v>
      </c>
      <c r="B102">
        <v>8.2099168333676698E-2</v>
      </c>
    </row>
    <row r="103" spans="1:2" x14ac:dyDescent="0.4">
      <c r="A103" s="4" t="s">
        <v>21</v>
      </c>
      <c r="B103">
        <v>0.27716203029485598</v>
      </c>
    </row>
    <row r="104" spans="1:2" x14ac:dyDescent="0.4">
      <c r="A104" s="3"/>
    </row>
    <row r="105" spans="1:2" x14ac:dyDescent="0.4">
      <c r="A105" s="4" t="s">
        <v>14</v>
      </c>
      <c r="B105" t="s">
        <v>34</v>
      </c>
    </row>
    <row r="106" spans="1:2" x14ac:dyDescent="0.4">
      <c r="A106" s="5" t="s">
        <v>16</v>
      </c>
      <c r="B106">
        <v>-3616.2587458582402</v>
      </c>
    </row>
    <row r="107" spans="1:2" x14ac:dyDescent="0.4">
      <c r="A107" s="5" t="s">
        <v>17</v>
      </c>
      <c r="B107">
        <v>8.2476919995808102E-3</v>
      </c>
    </row>
    <row r="108" spans="1:2" x14ac:dyDescent="0.4">
      <c r="A108" s="4" t="s">
        <v>18</v>
      </c>
      <c r="B108">
        <v>1.4866794977501799E-2</v>
      </c>
    </row>
    <row r="109" spans="1:2" x14ac:dyDescent="0.4">
      <c r="A109" s="4" t="s">
        <v>59</v>
      </c>
      <c r="B109">
        <v>3265883529206.9502</v>
      </c>
    </row>
    <row r="110" spans="1:2" x14ac:dyDescent="0.4">
      <c r="A110" s="4" t="s">
        <v>20</v>
      </c>
      <c r="B110">
        <v>7.9464734362053105E-2</v>
      </c>
    </row>
    <row r="111" spans="1:2" x14ac:dyDescent="0.4">
      <c r="A111" s="4" t="s">
        <v>21</v>
      </c>
      <c r="B111">
        <v>0.305936015795438</v>
      </c>
    </row>
    <row r="112" spans="1:2" x14ac:dyDescent="0.4">
      <c r="A112" s="3"/>
    </row>
    <row r="113" spans="1:2" x14ac:dyDescent="0.4">
      <c r="A113" s="4" t="s">
        <v>14</v>
      </c>
      <c r="B113" t="s">
        <v>35</v>
      </c>
    </row>
    <row r="114" spans="1:2" x14ac:dyDescent="0.4">
      <c r="A114" s="5" t="s">
        <v>16</v>
      </c>
      <c r="B114">
        <v>-3860.9520067036801</v>
      </c>
    </row>
    <row r="115" spans="1:2" x14ac:dyDescent="0.4">
      <c r="A115" s="5" t="s">
        <v>17</v>
      </c>
      <c r="B115">
        <v>8.22539972080941E-3</v>
      </c>
    </row>
    <row r="116" spans="1:2" x14ac:dyDescent="0.4">
      <c r="A116" s="4" t="s">
        <v>18</v>
      </c>
      <c r="B116">
        <v>1.4715979187775299E-2</v>
      </c>
    </row>
    <row r="117" spans="1:2" x14ac:dyDescent="0.4">
      <c r="A117" s="4" t="s">
        <v>59</v>
      </c>
      <c r="B117">
        <v>3209921300778.1899</v>
      </c>
    </row>
    <row r="118" spans="1:2" x14ac:dyDescent="0.4">
      <c r="A118" s="4" t="s">
        <v>20</v>
      </c>
      <c r="B118">
        <v>7.8860688541687193E-2</v>
      </c>
    </row>
    <row r="119" spans="1:2" x14ac:dyDescent="0.4">
      <c r="A119" s="4" t="s">
        <v>21</v>
      </c>
      <c r="B119">
        <v>0.31297692865237398</v>
      </c>
    </row>
    <row r="120" spans="1:2" x14ac:dyDescent="0.4">
      <c r="A120" s="3"/>
    </row>
    <row r="121" spans="1:2" x14ac:dyDescent="0.4">
      <c r="A121" s="4" t="s">
        <v>14</v>
      </c>
      <c r="B121" t="s">
        <v>36</v>
      </c>
    </row>
    <row r="122" spans="1:2" x14ac:dyDescent="0.4">
      <c r="A122" s="5" t="s">
        <v>16</v>
      </c>
      <c r="B122">
        <v>-3977.56835399275</v>
      </c>
    </row>
    <row r="123" spans="1:2" x14ac:dyDescent="0.4">
      <c r="A123" s="5" t="s">
        <v>17</v>
      </c>
      <c r="B123">
        <v>8.2177463109226901E-3</v>
      </c>
    </row>
    <row r="124" spans="1:2" x14ac:dyDescent="0.4">
      <c r="A124" s="4" t="s">
        <v>18</v>
      </c>
      <c r="B124">
        <v>1.4652003706634401E-2</v>
      </c>
    </row>
    <row r="125" spans="1:2" x14ac:dyDescent="0.4">
      <c r="A125" s="4" t="s">
        <v>59</v>
      </c>
      <c r="B125">
        <v>3242404493385.3999</v>
      </c>
    </row>
    <row r="126" spans="1:2" x14ac:dyDescent="0.4">
      <c r="A126" s="4" t="s">
        <v>20</v>
      </c>
      <c r="B126">
        <v>7.8591742264904299E-2</v>
      </c>
    </row>
    <row r="127" spans="1:2" x14ac:dyDescent="0.4">
      <c r="A127" s="4" t="s">
        <v>21</v>
      </c>
      <c r="B127">
        <v>0.31596365695522999</v>
      </c>
    </row>
    <row r="128" spans="1:2" x14ac:dyDescent="0.4">
      <c r="A128" s="3"/>
    </row>
    <row r="129" spans="1:2" x14ac:dyDescent="0.4">
      <c r="A129" s="4" t="s">
        <v>14</v>
      </c>
      <c r="B129" t="s">
        <v>37</v>
      </c>
    </row>
    <row r="130" spans="1:2" x14ac:dyDescent="0.4">
      <c r="A130" s="5" t="s">
        <v>16</v>
      </c>
      <c r="B130">
        <v>-3959.1459853285901</v>
      </c>
    </row>
    <row r="131" spans="1:2" x14ac:dyDescent="0.4">
      <c r="A131" s="5" t="s">
        <v>17</v>
      </c>
      <c r="B131">
        <v>8.2185276109303495E-3</v>
      </c>
    </row>
    <row r="132" spans="1:2" x14ac:dyDescent="0.4">
      <c r="A132" s="4" t="s">
        <v>18</v>
      </c>
      <c r="B132">
        <v>1.4663324601653699E-2</v>
      </c>
    </row>
    <row r="133" spans="1:2" x14ac:dyDescent="0.4">
      <c r="A133" s="4" t="s">
        <v>59</v>
      </c>
      <c r="B133">
        <v>3265120337982.3599</v>
      </c>
    </row>
    <row r="134" spans="1:2" x14ac:dyDescent="0.4">
      <c r="A134" s="4" t="s">
        <v>20</v>
      </c>
      <c r="B134">
        <v>7.8715401147199507E-2</v>
      </c>
    </row>
    <row r="135" spans="1:2" x14ac:dyDescent="0.4">
      <c r="A135" s="4" t="s">
        <v>21</v>
      </c>
      <c r="B135">
        <v>0.31543513513773502</v>
      </c>
    </row>
    <row r="136" spans="1:2" x14ac:dyDescent="0.4">
      <c r="A136" s="3"/>
    </row>
    <row r="137" spans="1:2" x14ac:dyDescent="0.4">
      <c r="A137" s="4" t="s">
        <v>14</v>
      </c>
      <c r="B137" t="s">
        <v>38</v>
      </c>
    </row>
    <row r="138" spans="1:2" x14ac:dyDescent="0.4">
      <c r="A138" s="5" t="s">
        <v>16</v>
      </c>
      <c r="B138">
        <v>-3992.5993038736801</v>
      </c>
    </row>
    <row r="139" spans="1:2" x14ac:dyDescent="0.4">
      <c r="A139" s="5" t="s">
        <v>17</v>
      </c>
      <c r="B139">
        <v>8.2164904067443499E-3</v>
      </c>
    </row>
    <row r="140" spans="1:2" x14ac:dyDescent="0.4">
      <c r="A140" s="4" t="s">
        <v>18</v>
      </c>
      <c r="B140">
        <v>1.46023394130888E-2</v>
      </c>
    </row>
    <row r="141" spans="1:2" x14ac:dyDescent="0.4">
      <c r="A141" s="4" t="s">
        <v>59</v>
      </c>
      <c r="B141">
        <v>3249819287043.71</v>
      </c>
    </row>
    <row r="142" spans="1:2" x14ac:dyDescent="0.4">
      <c r="A142" s="4" t="s">
        <v>20</v>
      </c>
      <c r="B142">
        <v>7.84579790779701E-2</v>
      </c>
    </row>
    <row r="143" spans="1:2" x14ac:dyDescent="0.4">
      <c r="A143" s="4" t="s">
        <v>21</v>
      </c>
      <c r="B143">
        <v>0.31828226009082</v>
      </c>
    </row>
    <row r="144" spans="1:2" x14ac:dyDescent="0.4">
      <c r="A144" s="3"/>
    </row>
    <row r="145" spans="1:2" x14ac:dyDescent="0.4">
      <c r="A145" s="4" t="s">
        <v>14</v>
      </c>
      <c r="B145" t="s">
        <v>39</v>
      </c>
    </row>
    <row r="146" spans="1:2" x14ac:dyDescent="0.4">
      <c r="A146" s="5" t="s">
        <v>16</v>
      </c>
      <c r="B146">
        <v>-3924.81802252632</v>
      </c>
    </row>
    <row r="147" spans="1:2" x14ac:dyDescent="0.4">
      <c r="A147" s="5" t="s">
        <v>17</v>
      </c>
      <c r="B147">
        <v>8.22127953785169E-3</v>
      </c>
    </row>
    <row r="148" spans="1:2" x14ac:dyDescent="0.4">
      <c r="A148" s="4" t="s">
        <v>18</v>
      </c>
      <c r="B148">
        <v>1.45593633181819E-2</v>
      </c>
    </row>
    <row r="149" spans="1:2" x14ac:dyDescent="0.4">
      <c r="A149" s="4" t="s">
        <v>59</v>
      </c>
      <c r="B149">
        <v>3204720889126.8999</v>
      </c>
    </row>
    <row r="150" spans="1:2" x14ac:dyDescent="0.4">
      <c r="A150" s="4" t="s">
        <v>20</v>
      </c>
      <c r="B150">
        <v>7.8286339212662107E-2</v>
      </c>
    </row>
    <row r="151" spans="1:2" x14ac:dyDescent="0.4">
      <c r="A151" s="4" t="s">
        <v>21</v>
      </c>
      <c r="B151">
        <v>0.32028862122660701</v>
      </c>
    </row>
    <row r="152" spans="1:2" x14ac:dyDescent="0.4">
      <c r="A152" s="3"/>
    </row>
    <row r="153" spans="1:2" x14ac:dyDescent="0.4">
      <c r="A153" s="4" t="s">
        <v>14</v>
      </c>
      <c r="B153" t="s">
        <v>40</v>
      </c>
    </row>
    <row r="154" spans="1:2" x14ac:dyDescent="0.4">
      <c r="A154" s="5" t="s">
        <v>16</v>
      </c>
      <c r="B154">
        <v>-3664.09466125772</v>
      </c>
    </row>
    <row r="155" spans="1:2" x14ac:dyDescent="0.4">
      <c r="A155" s="5" t="s">
        <v>17</v>
      </c>
      <c r="B155">
        <v>8.2419018318840402E-3</v>
      </c>
    </row>
    <row r="156" spans="1:2" x14ac:dyDescent="0.4">
      <c r="A156" s="4" t="s">
        <v>18</v>
      </c>
      <c r="B156">
        <v>1.4741171462492099E-2</v>
      </c>
    </row>
    <row r="157" spans="1:2" x14ac:dyDescent="0.4">
      <c r="A157" s="4" t="s">
        <v>59</v>
      </c>
      <c r="B157">
        <v>3295182572655.02</v>
      </c>
    </row>
    <row r="158" spans="1:2" x14ac:dyDescent="0.4">
      <c r="A158" s="4" t="s">
        <v>20</v>
      </c>
      <c r="B158">
        <v>7.90345314615368E-2</v>
      </c>
    </row>
    <row r="159" spans="1:2" x14ac:dyDescent="0.4">
      <c r="A159" s="4" t="s">
        <v>21</v>
      </c>
      <c r="B159">
        <v>0.31180081432594797</v>
      </c>
    </row>
    <row r="160" spans="1:2" x14ac:dyDescent="0.4">
      <c r="A160" s="3"/>
    </row>
    <row r="161" spans="1:2" x14ac:dyDescent="0.4">
      <c r="A161" s="4" t="s">
        <v>14</v>
      </c>
      <c r="B161" t="s">
        <v>41</v>
      </c>
    </row>
    <row r="162" spans="1:2" x14ac:dyDescent="0.4">
      <c r="A162" s="5" t="s">
        <v>16</v>
      </c>
      <c r="B162">
        <v>-4171.6095539494099</v>
      </c>
    </row>
    <row r="163" spans="1:2" x14ac:dyDescent="0.4">
      <c r="A163" s="5" t="s">
        <v>17</v>
      </c>
      <c r="B163">
        <v>8.2085052825102804E-3</v>
      </c>
    </row>
    <row r="164" spans="1:2" x14ac:dyDescent="0.4">
      <c r="A164" s="4" t="s">
        <v>18</v>
      </c>
      <c r="B164">
        <v>1.4379433162634901E-2</v>
      </c>
    </row>
    <row r="165" spans="1:2" x14ac:dyDescent="0.4">
      <c r="A165" s="4" t="s">
        <v>59</v>
      </c>
      <c r="B165">
        <v>2925237793231.04</v>
      </c>
    </row>
    <row r="166" spans="1:2" x14ac:dyDescent="0.4">
      <c r="A166" s="4" t="s">
        <v>20</v>
      </c>
      <c r="B166">
        <v>7.7245607215253503E-2</v>
      </c>
    </row>
    <row r="167" spans="1:2" x14ac:dyDescent="0.4">
      <c r="A167" s="4" t="s">
        <v>21</v>
      </c>
      <c r="B167">
        <v>0.32868875325415797</v>
      </c>
    </row>
    <row r="168" spans="1:2" x14ac:dyDescent="0.4">
      <c r="A168" s="3"/>
    </row>
    <row r="169" spans="1:2" x14ac:dyDescent="0.4">
      <c r="A169" s="4" t="s">
        <v>14</v>
      </c>
      <c r="B169" t="s">
        <v>42</v>
      </c>
    </row>
    <row r="170" spans="1:2" x14ac:dyDescent="0.4">
      <c r="A170" s="5" t="s">
        <v>16</v>
      </c>
      <c r="B170">
        <v>-4210.8085348042996</v>
      </c>
    </row>
    <row r="171" spans="1:2" x14ac:dyDescent="0.4">
      <c r="A171" s="5" t="s">
        <v>17</v>
      </c>
      <c r="B171">
        <v>8.2066175473044494E-3</v>
      </c>
    </row>
    <row r="172" spans="1:2" x14ac:dyDescent="0.4">
      <c r="A172" s="4" t="s">
        <v>18</v>
      </c>
      <c r="B172">
        <v>1.4403344087546399E-2</v>
      </c>
    </row>
    <row r="173" spans="1:2" x14ac:dyDescent="0.4">
      <c r="A173" s="4" t="s">
        <v>59</v>
      </c>
      <c r="B173">
        <v>3005339693755.6299</v>
      </c>
    </row>
    <row r="174" spans="1:2" x14ac:dyDescent="0.4">
      <c r="A174" s="4" t="s">
        <v>20</v>
      </c>
      <c r="B174">
        <v>7.7458792763746898E-2</v>
      </c>
    </row>
    <row r="175" spans="1:2" x14ac:dyDescent="0.4">
      <c r="A175" s="4" t="s">
        <v>21</v>
      </c>
      <c r="B175">
        <v>0.32757245940365098</v>
      </c>
    </row>
    <row r="176" spans="1:2" x14ac:dyDescent="0.4">
      <c r="A176" s="3"/>
    </row>
    <row r="177" spans="1:2" x14ac:dyDescent="0.4">
      <c r="A177" s="4" t="s">
        <v>14</v>
      </c>
      <c r="B177" t="s">
        <v>43</v>
      </c>
    </row>
    <row r="178" spans="1:2" x14ac:dyDescent="0.4">
      <c r="A178" s="5" t="s">
        <v>16</v>
      </c>
      <c r="B178">
        <v>-4165.3462765390605</v>
      </c>
    </row>
    <row r="179" spans="1:2" x14ac:dyDescent="0.4">
      <c r="A179" s="5" t="s">
        <v>17</v>
      </c>
      <c r="B179">
        <v>8.2087145244812802E-3</v>
      </c>
    </row>
    <row r="180" spans="1:2" x14ac:dyDescent="0.4">
      <c r="A180" s="4" t="s">
        <v>18</v>
      </c>
      <c r="B180">
        <v>1.4423451875279601E-2</v>
      </c>
    </row>
    <row r="181" spans="1:2" x14ac:dyDescent="0.4">
      <c r="A181" s="4" t="s">
        <v>59</v>
      </c>
      <c r="B181">
        <v>2998217593388.3701</v>
      </c>
    </row>
    <row r="182" spans="1:2" x14ac:dyDescent="0.4">
      <c r="A182" s="4" t="s">
        <v>20</v>
      </c>
      <c r="B182">
        <v>7.7512205433284104E-2</v>
      </c>
    </row>
    <row r="183" spans="1:2" x14ac:dyDescent="0.4">
      <c r="A183" s="4" t="s">
        <v>21</v>
      </c>
      <c r="B183">
        <v>0.32663371697202997</v>
      </c>
    </row>
    <row r="184" spans="1:2" x14ac:dyDescent="0.4">
      <c r="A184" s="3"/>
    </row>
    <row r="185" spans="1:2" x14ac:dyDescent="0.4">
      <c r="A185" s="4" t="s">
        <v>14</v>
      </c>
      <c r="B185" t="s">
        <v>44</v>
      </c>
    </row>
    <row r="186" spans="1:2" x14ac:dyDescent="0.4">
      <c r="A186" s="5" t="s">
        <v>16</v>
      </c>
      <c r="B186">
        <v>-3938.7738639603999</v>
      </c>
    </row>
    <row r="187" spans="1:2" x14ac:dyDescent="0.4">
      <c r="A187" s="5" t="s">
        <v>17</v>
      </c>
      <c r="B187">
        <v>8.2196507861068708E-3</v>
      </c>
    </row>
    <row r="188" spans="1:2" x14ac:dyDescent="0.4">
      <c r="A188" s="4" t="s">
        <v>18</v>
      </c>
      <c r="B188">
        <v>1.4465677130071899E-2</v>
      </c>
    </row>
    <row r="189" spans="1:2" x14ac:dyDescent="0.4">
      <c r="A189" s="4" t="s">
        <v>59</v>
      </c>
      <c r="B189">
        <v>3106891869533.3501</v>
      </c>
    </row>
    <row r="190" spans="1:2" x14ac:dyDescent="0.4">
      <c r="A190" s="4" t="s">
        <v>20</v>
      </c>
      <c r="B190">
        <v>7.7725080432774998E-2</v>
      </c>
    </row>
    <row r="191" spans="1:2" x14ac:dyDescent="0.4">
      <c r="A191" s="4" t="s">
        <v>21</v>
      </c>
      <c r="B191">
        <v>0.324662409193885</v>
      </c>
    </row>
    <row r="192" spans="1:2" x14ac:dyDescent="0.4">
      <c r="A192" s="3"/>
    </row>
    <row r="193" spans="1:2" x14ac:dyDescent="0.4">
      <c r="A193" s="4" t="s">
        <v>14</v>
      </c>
      <c r="B193" t="s">
        <v>45</v>
      </c>
    </row>
    <row r="194" spans="1:2" x14ac:dyDescent="0.4">
      <c r="A194" s="5" t="s">
        <v>16</v>
      </c>
      <c r="B194">
        <v>-4092.3539474097302</v>
      </c>
    </row>
    <row r="195" spans="1:2" x14ac:dyDescent="0.4">
      <c r="A195" s="5" t="s">
        <v>17</v>
      </c>
      <c r="B195">
        <v>8.21206387347829E-3</v>
      </c>
    </row>
    <row r="196" spans="1:2" x14ac:dyDescent="0.4">
      <c r="A196" s="4" t="s">
        <v>18</v>
      </c>
      <c r="B196">
        <v>1.43854578389898E-2</v>
      </c>
    </row>
    <row r="197" spans="1:2" x14ac:dyDescent="0.4">
      <c r="A197" s="4" t="s">
        <v>59</v>
      </c>
      <c r="B197">
        <v>2623155434809.1602</v>
      </c>
    </row>
    <row r="198" spans="1:2" x14ac:dyDescent="0.4">
      <c r="A198" s="4" t="s">
        <v>20</v>
      </c>
      <c r="B198">
        <v>7.7216327061711207E-2</v>
      </c>
    </row>
    <row r="199" spans="1:2" x14ac:dyDescent="0.4">
      <c r="A199" s="4" t="s">
        <v>21</v>
      </c>
      <c r="B199">
        <v>0.32840748813408399</v>
      </c>
    </row>
    <row r="200" spans="1:2" x14ac:dyDescent="0.4">
      <c r="A200" s="3"/>
    </row>
    <row r="201" spans="1:2" x14ac:dyDescent="0.4">
      <c r="A201" s="4" t="s">
        <v>14</v>
      </c>
      <c r="B201" t="s">
        <v>46</v>
      </c>
    </row>
    <row r="202" spans="1:2" x14ac:dyDescent="0.4">
      <c r="A202" s="5" t="s">
        <v>16</v>
      </c>
      <c r="B202">
        <v>-3981.2156221263599</v>
      </c>
    </row>
    <row r="203" spans="1:2" x14ac:dyDescent="0.4">
      <c r="A203" s="5" t="s">
        <v>17</v>
      </c>
      <c r="B203">
        <v>8.2176717450399093E-3</v>
      </c>
    </row>
    <row r="204" spans="1:2" x14ac:dyDescent="0.4">
      <c r="A204" s="4" t="s">
        <v>18</v>
      </c>
      <c r="B204">
        <v>1.44952111388635E-2</v>
      </c>
    </row>
    <row r="205" spans="1:2" x14ac:dyDescent="0.4">
      <c r="A205" s="4" t="s">
        <v>59</v>
      </c>
      <c r="B205">
        <v>3119980662223.4502</v>
      </c>
    </row>
    <row r="206" spans="1:2" x14ac:dyDescent="0.4">
      <c r="A206" s="4" t="s">
        <v>20</v>
      </c>
      <c r="B206">
        <v>7.7970213329077095E-2</v>
      </c>
    </row>
    <row r="207" spans="1:2" x14ac:dyDescent="0.4">
      <c r="A207" s="4" t="s">
        <v>21</v>
      </c>
      <c r="B207">
        <v>0.32328359877493401</v>
      </c>
    </row>
    <row r="208" spans="1:2" x14ac:dyDescent="0.4">
      <c r="A208" s="3"/>
    </row>
    <row r="209" spans="1:2" x14ac:dyDescent="0.4">
      <c r="A209" s="4" t="s">
        <v>14</v>
      </c>
      <c r="B209" t="s">
        <v>47</v>
      </c>
    </row>
    <row r="210" spans="1:2" x14ac:dyDescent="0.4">
      <c r="A210" s="5" t="s">
        <v>16</v>
      </c>
      <c r="B210">
        <v>-4216.5237199799903</v>
      </c>
    </row>
    <row r="211" spans="1:2" x14ac:dyDescent="0.4">
      <c r="A211" s="5" t="s">
        <v>17</v>
      </c>
      <c r="B211">
        <v>8.2064769540261904E-3</v>
      </c>
    </row>
    <row r="212" spans="1:2" x14ac:dyDescent="0.4">
      <c r="A212" s="4" t="s">
        <v>18</v>
      </c>
      <c r="B212">
        <v>1.43875969940496E-2</v>
      </c>
    </row>
    <row r="213" spans="1:2" x14ac:dyDescent="0.4">
      <c r="A213" s="4" t="s">
        <v>59</v>
      </c>
      <c r="B213">
        <v>2966100174998.3501</v>
      </c>
    </row>
    <row r="214" spans="1:2" x14ac:dyDescent="0.4">
      <c r="A214" s="4" t="s">
        <v>20</v>
      </c>
      <c r="B214">
        <v>7.7312250678718594E-2</v>
      </c>
    </row>
    <row r="215" spans="1:2" x14ac:dyDescent="0.4">
      <c r="A215" s="4" t="s">
        <v>21</v>
      </c>
      <c r="B215">
        <v>0.32830762057783902</v>
      </c>
    </row>
    <row r="216" spans="1:2" x14ac:dyDescent="0.4">
      <c r="A216" s="3"/>
    </row>
    <row r="217" spans="1:2" x14ac:dyDescent="0.4">
      <c r="A217" s="4" t="s">
        <v>14</v>
      </c>
      <c r="B217" t="s">
        <v>48</v>
      </c>
    </row>
    <row r="218" spans="1:2" x14ac:dyDescent="0.4">
      <c r="A218" s="5" t="s">
        <v>16</v>
      </c>
      <c r="B218">
        <v>-4194.5802964803097</v>
      </c>
    </row>
    <row r="219" spans="1:2" x14ac:dyDescent="0.4">
      <c r="A219" s="5" t="s">
        <v>17</v>
      </c>
      <c r="B219">
        <v>8.2071846882808292E-3</v>
      </c>
    </row>
    <row r="220" spans="1:2" x14ac:dyDescent="0.4">
      <c r="A220" s="4" t="s">
        <v>18</v>
      </c>
      <c r="B220">
        <v>1.43878939701156E-2</v>
      </c>
    </row>
    <row r="221" spans="1:2" x14ac:dyDescent="0.4">
      <c r="A221" s="4" t="s">
        <v>59</v>
      </c>
      <c r="B221">
        <v>2967234460021.6899</v>
      </c>
    </row>
    <row r="222" spans="1:2" x14ac:dyDescent="0.4">
      <c r="A222" s="4" t="s">
        <v>20</v>
      </c>
      <c r="B222">
        <v>7.7380674448723097E-2</v>
      </c>
    </row>
    <row r="223" spans="1:2" x14ac:dyDescent="0.4">
      <c r="A223" s="4" t="s">
        <v>21</v>
      </c>
      <c r="B223">
        <v>0.32829375609716699</v>
      </c>
    </row>
    <row r="224" spans="1:2" x14ac:dyDescent="0.4">
      <c r="A224" s="3"/>
    </row>
    <row r="225" spans="1:2" x14ac:dyDescent="0.4">
      <c r="A225" s="4" t="s">
        <v>14</v>
      </c>
      <c r="B225" t="s">
        <v>49</v>
      </c>
    </row>
    <row r="226" spans="1:2" x14ac:dyDescent="0.4">
      <c r="A226" s="5" t="s">
        <v>16</v>
      </c>
      <c r="B226">
        <v>-4190.0210374559301</v>
      </c>
    </row>
    <row r="227" spans="1:2" x14ac:dyDescent="0.4">
      <c r="A227" s="5" t="s">
        <v>17</v>
      </c>
      <c r="B227">
        <v>8.2075715919628801E-3</v>
      </c>
    </row>
    <row r="228" spans="1:2" x14ac:dyDescent="0.4">
      <c r="A228" s="4" t="s">
        <v>18</v>
      </c>
      <c r="B228">
        <v>1.44077419428701E-2</v>
      </c>
    </row>
    <row r="229" spans="1:2" x14ac:dyDescent="0.4">
      <c r="A229" s="4" t="s">
        <v>59</v>
      </c>
      <c r="B229">
        <v>2978323128179.6201</v>
      </c>
    </row>
    <row r="230" spans="1:2" x14ac:dyDescent="0.4">
      <c r="A230" s="4" t="s">
        <v>20</v>
      </c>
      <c r="B230">
        <v>7.7426106757828905E-2</v>
      </c>
    </row>
    <row r="231" spans="1:2" x14ac:dyDescent="0.4">
      <c r="A231" s="4" t="s">
        <v>21</v>
      </c>
      <c r="B231">
        <v>0.32736714326170602</v>
      </c>
    </row>
    <row r="232" spans="1:2" x14ac:dyDescent="0.4">
      <c r="A232" s="3"/>
    </row>
    <row r="233" spans="1:2" x14ac:dyDescent="0.4">
      <c r="A233" s="4" t="s">
        <v>14</v>
      </c>
      <c r="B233" t="s">
        <v>50</v>
      </c>
    </row>
    <row r="234" spans="1:2" x14ac:dyDescent="0.4">
      <c r="A234" s="5" t="s">
        <v>16</v>
      </c>
      <c r="B234">
        <v>-3764.8852976994799</v>
      </c>
    </row>
    <row r="235" spans="1:2" x14ac:dyDescent="0.4">
      <c r="A235" s="5" t="s">
        <v>17</v>
      </c>
      <c r="B235">
        <v>8.2326030702160307E-3</v>
      </c>
    </row>
    <row r="236" spans="1:2" x14ac:dyDescent="0.4">
      <c r="A236" s="4" t="s">
        <v>18</v>
      </c>
      <c r="B236">
        <v>1.4428826346471199E-2</v>
      </c>
    </row>
    <row r="237" spans="1:2" x14ac:dyDescent="0.4">
      <c r="A237" s="4" t="s">
        <v>59</v>
      </c>
      <c r="B237">
        <v>3055758293007.9102</v>
      </c>
    </row>
    <row r="238" spans="1:2" x14ac:dyDescent="0.4">
      <c r="A238" s="4" t="s">
        <v>20</v>
      </c>
      <c r="B238">
        <v>7.7608203794984398E-2</v>
      </c>
    </row>
    <row r="239" spans="1:2" x14ac:dyDescent="0.4">
      <c r="A239" s="4" t="s">
        <v>21</v>
      </c>
      <c r="B239">
        <v>0.32638280701504802</v>
      </c>
    </row>
    <row r="240" spans="1:2" x14ac:dyDescent="0.4">
      <c r="A240" s="3"/>
    </row>
    <row r="241" spans="1:2" x14ac:dyDescent="0.4">
      <c r="A241" s="4" t="s">
        <v>14</v>
      </c>
      <c r="B241" t="s">
        <v>51</v>
      </c>
    </row>
    <row r="242" spans="1:2" x14ac:dyDescent="0.4">
      <c r="A242" s="5" t="s">
        <v>16</v>
      </c>
      <c r="B242">
        <v>-4090.86893882815</v>
      </c>
    </row>
    <row r="243" spans="1:2" x14ac:dyDescent="0.4">
      <c r="A243" s="5" t="s">
        <v>17</v>
      </c>
      <c r="B243">
        <v>8.2120410795044306E-3</v>
      </c>
    </row>
    <row r="244" spans="1:2" x14ac:dyDescent="0.4">
      <c r="A244" s="4" t="s">
        <v>18</v>
      </c>
      <c r="B244">
        <v>1.43916942158665E-2</v>
      </c>
    </row>
    <row r="245" spans="1:2" x14ac:dyDescent="0.4">
      <c r="A245" s="4" t="s">
        <v>59</v>
      </c>
      <c r="B245">
        <v>2573853622388.0801</v>
      </c>
    </row>
    <row r="246" spans="1:2" x14ac:dyDescent="0.4">
      <c r="A246" s="4" t="s">
        <v>20</v>
      </c>
      <c r="B246">
        <v>7.7203367978659093E-2</v>
      </c>
    </row>
    <row r="247" spans="1:2" x14ac:dyDescent="0.4">
      <c r="A247" s="4" t="s">
        <v>21</v>
      </c>
      <c r="B247">
        <v>0.32811633966606701</v>
      </c>
    </row>
    <row r="248" spans="1:2" x14ac:dyDescent="0.4">
      <c r="A248" s="3"/>
    </row>
    <row r="249" spans="1:2" x14ac:dyDescent="0.4">
      <c r="A249" s="4" t="s">
        <v>14</v>
      </c>
      <c r="B249" t="s">
        <v>52</v>
      </c>
    </row>
    <row r="250" spans="1:2" x14ac:dyDescent="0.4">
      <c r="A250" s="5" t="s">
        <v>16</v>
      </c>
      <c r="B250">
        <v>-4075.48651420738</v>
      </c>
    </row>
    <row r="251" spans="1:2" x14ac:dyDescent="0.4">
      <c r="A251" s="5" t="s">
        <v>17</v>
      </c>
      <c r="B251">
        <v>8.2124015632448998E-3</v>
      </c>
    </row>
    <row r="252" spans="1:2" x14ac:dyDescent="0.4">
      <c r="A252" s="4" t="s">
        <v>18</v>
      </c>
      <c r="B252">
        <v>1.43498111734393E-2</v>
      </c>
    </row>
    <row r="253" spans="1:2" x14ac:dyDescent="0.4">
      <c r="A253" s="4" t="s">
        <v>59</v>
      </c>
      <c r="B253">
        <v>2782864599359.4702</v>
      </c>
    </row>
    <row r="254" spans="1:2" x14ac:dyDescent="0.4">
      <c r="A254" s="4" t="s">
        <v>20</v>
      </c>
      <c r="B254">
        <v>7.7067789018878605E-2</v>
      </c>
    </row>
    <row r="255" spans="1:2" x14ac:dyDescent="0.4">
      <c r="A255" s="4" t="s">
        <v>21</v>
      </c>
      <c r="B255">
        <v>0.33007167108360702</v>
      </c>
    </row>
    <row r="256" spans="1:2" x14ac:dyDescent="0.4">
      <c r="A256" s="3"/>
    </row>
    <row r="257" spans="1:2" x14ac:dyDescent="0.4">
      <c r="A257" s="4" t="s">
        <v>14</v>
      </c>
      <c r="B257" t="s">
        <v>53</v>
      </c>
    </row>
    <row r="258" spans="1:2" x14ac:dyDescent="0.4">
      <c r="A258" s="5" t="s">
        <v>16</v>
      </c>
      <c r="B258">
        <v>-4017.5454954966699</v>
      </c>
    </row>
    <row r="259" spans="1:2" x14ac:dyDescent="0.4">
      <c r="A259" s="5" t="s">
        <v>17</v>
      </c>
      <c r="B259">
        <v>8.2156776117027104E-3</v>
      </c>
    </row>
    <row r="260" spans="1:2" x14ac:dyDescent="0.4">
      <c r="A260" s="4" t="s">
        <v>18</v>
      </c>
      <c r="B260">
        <v>1.4357928466574601E-2</v>
      </c>
    </row>
    <row r="261" spans="1:2" x14ac:dyDescent="0.4">
      <c r="A261" s="4" t="s">
        <v>59</v>
      </c>
      <c r="B261">
        <v>2798837508758.1401</v>
      </c>
    </row>
    <row r="262" spans="1:2" x14ac:dyDescent="0.4">
      <c r="A262" s="4" t="s">
        <v>20</v>
      </c>
      <c r="B262">
        <v>7.7067952087211705E-2</v>
      </c>
    </row>
    <row r="263" spans="1:2" x14ac:dyDescent="0.4">
      <c r="A263" s="4" t="s">
        <v>21</v>
      </c>
      <c r="B263">
        <v>0.32969271107084402</v>
      </c>
    </row>
    <row r="264" spans="1:2" x14ac:dyDescent="0.4">
      <c r="A264" s="3"/>
    </row>
    <row r="265" spans="1:2" x14ac:dyDescent="0.4">
      <c r="A265" s="4" t="s">
        <v>14</v>
      </c>
      <c r="B265" t="s">
        <v>54</v>
      </c>
    </row>
    <row r="266" spans="1:2" x14ac:dyDescent="0.4">
      <c r="A266" s="5" t="s">
        <v>16</v>
      </c>
      <c r="B266">
        <v>-4215.2859789722797</v>
      </c>
    </row>
    <row r="267" spans="1:2" x14ac:dyDescent="0.4">
      <c r="A267" s="5" t="s">
        <v>17</v>
      </c>
      <c r="B267">
        <v>8.2062890924534393E-3</v>
      </c>
    </row>
    <row r="268" spans="1:2" x14ac:dyDescent="0.4">
      <c r="A268" s="4" t="s">
        <v>18</v>
      </c>
      <c r="B268">
        <v>1.44114441688378E-2</v>
      </c>
    </row>
    <row r="269" spans="1:2" x14ac:dyDescent="0.4">
      <c r="A269" s="4" t="s">
        <v>59</v>
      </c>
      <c r="B269">
        <v>3009824573669.9502</v>
      </c>
    </row>
    <row r="270" spans="1:2" x14ac:dyDescent="0.4">
      <c r="A270" s="4" t="s">
        <v>20</v>
      </c>
      <c r="B270">
        <v>7.7492516930213196E-2</v>
      </c>
    </row>
    <row r="271" spans="1:2" x14ac:dyDescent="0.4">
      <c r="A271" s="4" t="s">
        <v>21</v>
      </c>
      <c r="B271">
        <v>0.32719430293468799</v>
      </c>
    </row>
    <row r="272" spans="1:2" x14ac:dyDescent="0.4">
      <c r="A272" s="3"/>
    </row>
    <row r="273" spans="1:2" x14ac:dyDescent="0.4">
      <c r="A273" s="4" t="s">
        <v>14</v>
      </c>
      <c r="B273" t="s">
        <v>55</v>
      </c>
    </row>
    <row r="274" spans="1:2" x14ac:dyDescent="0.4">
      <c r="A274" s="5" t="s">
        <v>16</v>
      </c>
      <c r="B274">
        <v>-4211.4817164857304</v>
      </c>
    </row>
    <row r="275" spans="1:2" x14ac:dyDescent="0.4">
      <c r="A275" s="5" t="s">
        <v>17</v>
      </c>
      <c r="B275">
        <v>8.2064064112174397E-3</v>
      </c>
    </row>
    <row r="276" spans="1:2" x14ac:dyDescent="0.4">
      <c r="A276" s="4" t="s">
        <v>18</v>
      </c>
      <c r="B276">
        <v>1.44007374079728E-2</v>
      </c>
    </row>
    <row r="277" spans="1:2" x14ac:dyDescent="0.4">
      <c r="A277" s="4" t="s">
        <v>59</v>
      </c>
      <c r="B277">
        <v>2990176794481.1802</v>
      </c>
    </row>
    <row r="278" spans="1:2" x14ac:dyDescent="0.4">
      <c r="A278" s="4" t="s">
        <v>20</v>
      </c>
      <c r="B278">
        <v>7.7439139825283193E-2</v>
      </c>
    </row>
    <row r="279" spans="1:2" x14ac:dyDescent="0.4">
      <c r="A279" s="4" t="s">
        <v>21</v>
      </c>
      <c r="B279">
        <v>0.32769415358273501</v>
      </c>
    </row>
    <row r="280" spans="1:2" x14ac:dyDescent="0.4">
      <c r="A280" s="2"/>
    </row>
    <row r="281" spans="1:2" x14ac:dyDescent="0.4">
      <c r="A281" s="1" t="s">
        <v>14</v>
      </c>
      <c r="B281" t="s">
        <v>56</v>
      </c>
    </row>
    <row r="282" spans="1:2" x14ac:dyDescent="0.4">
      <c r="A282" s="1" t="s">
        <v>16</v>
      </c>
      <c r="B282">
        <v>-4082.9848532605802</v>
      </c>
    </row>
    <row r="283" spans="1:2" x14ac:dyDescent="0.4">
      <c r="A283" s="1" t="s">
        <v>17</v>
      </c>
      <c r="B283">
        <v>1.44138082312802E-2</v>
      </c>
    </row>
    <row r="284" spans="1:2" x14ac:dyDescent="0.4">
      <c r="A284" s="1" t="s">
        <v>18</v>
      </c>
      <c r="B284">
        <v>1.44138082312802E-2</v>
      </c>
    </row>
    <row r="285" spans="1:2" x14ac:dyDescent="0.4">
      <c r="A285" s="1" t="s">
        <v>19</v>
      </c>
      <c r="B285">
        <v>0.120057520511129</v>
      </c>
    </row>
    <row r="286" spans="1:2" x14ac:dyDescent="0.4">
      <c r="A286" s="1" t="s">
        <v>20</v>
      </c>
      <c r="B286">
        <v>7.7492585419005694E-2</v>
      </c>
    </row>
    <row r="287" spans="1:2" x14ac:dyDescent="0.4">
      <c r="A287" s="1" t="s">
        <v>21</v>
      </c>
      <c r="B287">
        <v>0.32708393546139197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69CE9-312C-4B70-8EAB-A94F9550778B}">
  <sheetPr codeName="Sheet2"/>
  <dimension ref="A1:Q39"/>
  <sheetViews>
    <sheetView tabSelected="1" workbookViewId="0">
      <selection activeCell="Q2" sqref="Q2:Q36"/>
    </sheetView>
  </sheetViews>
  <sheetFormatPr defaultRowHeight="13.9" x14ac:dyDescent="0.4"/>
  <cols>
    <col min="1" max="1" width="15.3984375" customWidth="1"/>
    <col min="10" max="11" width="13.19921875" customWidth="1"/>
    <col min="12" max="13" width="12" customWidth="1"/>
    <col min="14" max="14" width="22.1328125" customWidth="1"/>
    <col min="15" max="15" width="15.6640625" customWidth="1"/>
  </cols>
  <sheetData>
    <row r="1" spans="1:17" x14ac:dyDescent="0.4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s="1" t="s">
        <v>16</v>
      </c>
      <c r="J1" s="1" t="s">
        <v>17</v>
      </c>
      <c r="K1" s="1" t="s">
        <v>64</v>
      </c>
      <c r="L1" s="1" t="s">
        <v>65</v>
      </c>
      <c r="M1" s="1" t="s">
        <v>66</v>
      </c>
      <c r="N1" s="1" t="s">
        <v>61</v>
      </c>
      <c r="O1" s="1" t="s">
        <v>57</v>
      </c>
      <c r="P1" s="1" t="s">
        <v>58</v>
      </c>
    </row>
    <row r="2" spans="1:17" x14ac:dyDescent="0.4">
      <c r="A2" t="s">
        <v>1</v>
      </c>
      <c r="B2">
        <v>0</v>
      </c>
      <c r="C2">
        <v>0</v>
      </c>
      <c r="D2">
        <v>0</v>
      </c>
      <c r="E2">
        <v>0</v>
      </c>
      <c r="F2">
        <v>1</v>
      </c>
      <c r="G2">
        <v>0</v>
      </c>
      <c r="H2">
        <v>420</v>
      </c>
      <c r="I2">
        <v>-277.89530729033299</v>
      </c>
      <c r="J2">
        <v>2.9125225000000001E-2</v>
      </c>
      <c r="K2">
        <f t="shared" ref="K2:K35" si="0">SQRT(J2)</f>
        <v>0.17066114086106421</v>
      </c>
      <c r="L2">
        <v>1.4478975E-2</v>
      </c>
      <c r="M2">
        <f t="shared" ref="M2:M35" si="1">SQRT(L2)</f>
        <v>0.1203286125574462</v>
      </c>
      <c r="N2">
        <v>3141260740092.6001</v>
      </c>
      <c r="O2">
        <v>7.7835000000000001E-2</v>
      </c>
      <c r="P2">
        <v>0.32404159128406301</v>
      </c>
      <c r="Q2" t="str">
        <f>B2&amp;"&amp;"&amp;C2&amp;"&amp;"&amp;D2&amp;"&amp;"&amp;E2&amp;"&amp;"&amp;F2&amp;"&amp;"&amp;G2&amp;"&amp;"&amp;H2&amp;"&amp;"&amp;ROUND(I2,4)&amp;"&amp;"&amp;ROUND(K2,4)&amp;"\\"</f>
        <v>0&amp;0&amp;0&amp;0&amp;1&amp;0&amp;420&amp;-277.8953&amp;0.1707\\</v>
      </c>
    </row>
    <row r="3" spans="1:17" x14ac:dyDescent="0.4">
      <c r="A3" t="s">
        <v>1</v>
      </c>
      <c r="B3">
        <v>0</v>
      </c>
      <c r="C3">
        <v>0</v>
      </c>
      <c r="D3">
        <v>1</v>
      </c>
      <c r="E3">
        <v>0</v>
      </c>
      <c r="F3">
        <v>1</v>
      </c>
      <c r="G3">
        <v>0</v>
      </c>
      <c r="H3">
        <v>420</v>
      </c>
      <c r="I3">
        <v>-1050.03568098096</v>
      </c>
      <c r="J3">
        <v>1.36679639992756E-2</v>
      </c>
      <c r="K3">
        <f t="shared" si="0"/>
        <v>0.11691006799790854</v>
      </c>
      <c r="L3">
        <v>1.4478700741024199E-2</v>
      </c>
      <c r="M3">
        <f t="shared" si="1"/>
        <v>0.12032747292710921</v>
      </c>
      <c r="N3">
        <v>3141260740092.5898</v>
      </c>
      <c r="O3">
        <v>7.7818021246785399E-2</v>
      </c>
      <c r="P3">
        <v>0.32405439520567098</v>
      </c>
      <c r="Q3" t="str">
        <f t="shared" ref="Q3:Q36" si="2">B3&amp;"&amp;"&amp;C3&amp;"&amp;"&amp;D3&amp;"&amp;"&amp;E3&amp;"&amp;"&amp;F3&amp;"&amp;"&amp;G3&amp;"&amp;"&amp;H3&amp;"&amp;"&amp;ROUND(I3,4)&amp;"&amp;"&amp;ROUND(K3,4)&amp;"\\"</f>
        <v>0&amp;0&amp;1&amp;0&amp;1&amp;0&amp;420&amp;-1050.0357&amp;0.1169\\</v>
      </c>
    </row>
    <row r="4" spans="1:17" x14ac:dyDescent="0.4">
      <c r="A4" t="s">
        <v>1</v>
      </c>
      <c r="B4">
        <v>0</v>
      </c>
      <c r="C4">
        <v>0</v>
      </c>
      <c r="D4">
        <v>2</v>
      </c>
      <c r="E4">
        <v>0</v>
      </c>
      <c r="F4">
        <v>1</v>
      </c>
      <c r="G4">
        <v>0</v>
      </c>
      <c r="H4">
        <v>420</v>
      </c>
      <c r="I4">
        <v>-1733.08817034904</v>
      </c>
      <c r="J4">
        <v>9.8586604025756204E-3</v>
      </c>
      <c r="K4">
        <f t="shared" si="0"/>
        <v>9.9290787098177541E-2</v>
      </c>
      <c r="L4">
        <v>1.44814613477543E-2</v>
      </c>
      <c r="M4">
        <f t="shared" si="1"/>
        <v>0.12033894360411471</v>
      </c>
      <c r="N4">
        <v>3141260740092.5898</v>
      </c>
      <c r="O4">
        <v>7.7817750874190295E-2</v>
      </c>
      <c r="P4">
        <v>0.323925514857966</v>
      </c>
      <c r="Q4" t="str">
        <f t="shared" si="2"/>
        <v>0&amp;0&amp;2&amp;0&amp;1&amp;0&amp;420&amp;-1733.0882&amp;0.0993\\</v>
      </c>
    </row>
    <row r="5" spans="1:17" x14ac:dyDescent="0.4">
      <c r="A5" t="s">
        <v>1</v>
      </c>
      <c r="B5">
        <v>0</v>
      </c>
      <c r="C5">
        <v>0</v>
      </c>
      <c r="D5">
        <v>3</v>
      </c>
      <c r="E5">
        <v>0</v>
      </c>
      <c r="F5">
        <v>1</v>
      </c>
      <c r="G5">
        <v>0</v>
      </c>
      <c r="H5">
        <v>420</v>
      </c>
      <c r="I5">
        <v>-2290.7756974581098</v>
      </c>
      <c r="J5">
        <v>8.8189319654938293E-3</v>
      </c>
      <c r="K5">
        <f t="shared" si="0"/>
        <v>9.3909168697704007E-2</v>
      </c>
      <c r="L5">
        <v>1.44883578160284E-2</v>
      </c>
      <c r="M5">
        <f t="shared" si="1"/>
        <v>0.12036759454283533</v>
      </c>
      <c r="N5">
        <v>3141260740092.5898</v>
      </c>
      <c r="O5">
        <v>7.7842486232244906E-2</v>
      </c>
      <c r="P5">
        <v>0.32360354968292199</v>
      </c>
      <c r="Q5" t="str">
        <f t="shared" si="2"/>
        <v>0&amp;0&amp;3&amp;0&amp;1&amp;0&amp;420&amp;-2290.7757&amp;0.0939\\</v>
      </c>
    </row>
    <row r="6" spans="1:17" x14ac:dyDescent="0.4">
      <c r="A6" t="s">
        <v>1</v>
      </c>
      <c r="B6">
        <v>0</v>
      </c>
      <c r="C6">
        <v>0</v>
      </c>
      <c r="D6">
        <v>4</v>
      </c>
      <c r="E6">
        <v>0</v>
      </c>
      <c r="F6">
        <v>1</v>
      </c>
      <c r="G6">
        <v>0</v>
      </c>
      <c r="H6">
        <v>420</v>
      </c>
      <c r="I6">
        <v>-2668.8606937016598</v>
      </c>
      <c r="J6">
        <v>8.5130391333612006E-3</v>
      </c>
      <c r="K6">
        <f t="shared" si="0"/>
        <v>9.2266132103612106E-2</v>
      </c>
      <c r="L6">
        <v>1.44873837805419E-2</v>
      </c>
      <c r="M6">
        <f t="shared" si="1"/>
        <v>0.12036354838796462</v>
      </c>
      <c r="N6">
        <v>3141260740092.5898</v>
      </c>
      <c r="O6">
        <v>7.7838828730203896E-2</v>
      </c>
      <c r="P6">
        <v>0.32364902303151799</v>
      </c>
      <c r="Q6" t="str">
        <f t="shared" si="2"/>
        <v>0&amp;0&amp;4&amp;0&amp;1&amp;0&amp;420&amp;-2668.8607&amp;0.0923\\</v>
      </c>
    </row>
    <row r="7" spans="1:17" x14ac:dyDescent="0.4">
      <c r="A7" t="s">
        <v>1</v>
      </c>
      <c r="B7">
        <v>0</v>
      </c>
      <c r="C7">
        <v>0</v>
      </c>
      <c r="D7">
        <v>5</v>
      </c>
      <c r="E7">
        <v>0</v>
      </c>
      <c r="F7">
        <v>1</v>
      </c>
      <c r="G7">
        <v>0</v>
      </c>
      <c r="H7">
        <v>420</v>
      </c>
      <c r="I7">
        <v>-2820.6745025445598</v>
      </c>
      <c r="J7">
        <v>8.4365542542425807E-3</v>
      </c>
      <c r="K7">
        <f t="shared" si="0"/>
        <v>9.1850717222254616E-2</v>
      </c>
      <c r="L7">
        <v>1.44883841681425E-2</v>
      </c>
      <c r="M7">
        <f t="shared" si="1"/>
        <v>0.1203677040079377</v>
      </c>
      <c r="N7">
        <v>3141260740092.5898</v>
      </c>
      <c r="O7">
        <v>7.7843378444436104E-2</v>
      </c>
      <c r="P7">
        <v>0.32360231942089701</v>
      </c>
      <c r="Q7" t="str">
        <f t="shared" si="2"/>
        <v>0&amp;0&amp;5&amp;0&amp;1&amp;0&amp;420&amp;-2820.6745&amp;0.0919\\</v>
      </c>
    </row>
    <row r="8" spans="1:17" x14ac:dyDescent="0.4">
      <c r="A8" t="s">
        <v>1</v>
      </c>
      <c r="B8">
        <v>1</v>
      </c>
      <c r="C8">
        <v>0</v>
      </c>
      <c r="D8">
        <v>0</v>
      </c>
      <c r="E8">
        <v>0</v>
      </c>
      <c r="F8">
        <v>1</v>
      </c>
      <c r="G8">
        <v>0</v>
      </c>
      <c r="H8">
        <v>420</v>
      </c>
      <c r="I8">
        <v>-2024.2373285379799</v>
      </c>
      <c r="J8">
        <v>9.2019506346792696E-3</v>
      </c>
      <c r="K8">
        <f t="shared" si="0"/>
        <v>9.5926798313501899E-2</v>
      </c>
      <c r="L8">
        <v>1.42223476129456E-2</v>
      </c>
      <c r="M8">
        <f t="shared" si="1"/>
        <v>0.11925748451541983</v>
      </c>
      <c r="N8">
        <v>2319176420110.1899</v>
      </c>
      <c r="O8">
        <v>7.6071325572996604E-2</v>
      </c>
      <c r="P8">
        <v>0.336022373085688</v>
      </c>
      <c r="Q8" t="str">
        <f t="shared" si="2"/>
        <v>1&amp;0&amp;0&amp;0&amp;1&amp;0&amp;420&amp;-2024.2373&amp;0.0959\\</v>
      </c>
    </row>
    <row r="9" spans="1:17" x14ac:dyDescent="0.4">
      <c r="A9" t="s">
        <v>1</v>
      </c>
      <c r="B9">
        <v>1</v>
      </c>
      <c r="C9">
        <v>0</v>
      </c>
      <c r="D9">
        <v>1</v>
      </c>
      <c r="E9">
        <v>0</v>
      </c>
      <c r="F9">
        <v>1</v>
      </c>
      <c r="G9">
        <v>0</v>
      </c>
      <c r="H9">
        <v>420</v>
      </c>
      <c r="I9">
        <v>-2683.5422253690099</v>
      </c>
      <c r="J9">
        <v>8.5066727629815493E-3</v>
      </c>
      <c r="K9">
        <f t="shared" si="0"/>
        <v>9.2231625611725765E-2</v>
      </c>
      <c r="L9">
        <v>1.4210967449665501E-2</v>
      </c>
      <c r="M9">
        <f t="shared" si="1"/>
        <v>0.11920976239245468</v>
      </c>
      <c r="N9">
        <v>2492270503111.0898</v>
      </c>
      <c r="O9">
        <v>7.6229942853178106E-2</v>
      </c>
      <c r="P9">
        <v>0.33655366187247998</v>
      </c>
      <c r="Q9" t="str">
        <f t="shared" si="2"/>
        <v>1&amp;0&amp;1&amp;0&amp;1&amp;0&amp;420&amp;-2683.5422&amp;0.0922\\</v>
      </c>
    </row>
    <row r="10" spans="1:17" x14ac:dyDescent="0.4">
      <c r="A10" t="s">
        <v>1</v>
      </c>
      <c r="B10">
        <v>1</v>
      </c>
      <c r="C10">
        <v>0</v>
      </c>
      <c r="D10">
        <v>2</v>
      </c>
      <c r="E10">
        <v>0</v>
      </c>
      <c r="F10">
        <v>1</v>
      </c>
      <c r="G10">
        <v>0</v>
      </c>
      <c r="H10">
        <v>420</v>
      </c>
      <c r="I10">
        <v>-3101.5012894574802</v>
      </c>
      <c r="J10">
        <v>8.3395785494182594E-3</v>
      </c>
      <c r="K10">
        <f t="shared" si="0"/>
        <v>9.132129296838859E-2</v>
      </c>
      <c r="L10">
        <v>1.4210087095726701E-2</v>
      </c>
      <c r="M10">
        <f t="shared" si="1"/>
        <v>0.11920606987786612</v>
      </c>
      <c r="N10">
        <v>2607313826446.5298</v>
      </c>
      <c r="O10">
        <v>7.6305804378362097E-2</v>
      </c>
      <c r="P10">
        <v>0.336594761649749</v>
      </c>
      <c r="Q10" t="str">
        <f t="shared" si="2"/>
        <v>1&amp;0&amp;2&amp;0&amp;1&amp;0&amp;420&amp;-3101.5013&amp;0.0913\\</v>
      </c>
    </row>
    <row r="11" spans="1:17" x14ac:dyDescent="0.4">
      <c r="A11" t="s">
        <v>1</v>
      </c>
      <c r="B11">
        <v>1</v>
      </c>
      <c r="C11">
        <v>0</v>
      </c>
      <c r="D11">
        <v>3</v>
      </c>
      <c r="E11">
        <v>0</v>
      </c>
      <c r="F11">
        <v>1</v>
      </c>
      <c r="G11">
        <v>0</v>
      </c>
      <c r="H11">
        <v>420</v>
      </c>
      <c r="I11">
        <v>-3398.0655723124801</v>
      </c>
      <c r="J11">
        <v>8.2767855971997793E-3</v>
      </c>
      <c r="K11">
        <f t="shared" si="0"/>
        <v>9.0976840993737401E-2</v>
      </c>
      <c r="L11">
        <v>1.42773253295468E-2</v>
      </c>
      <c r="M11">
        <f t="shared" si="1"/>
        <v>0.11948776225851249</v>
      </c>
      <c r="N11">
        <v>2801159201163.6899</v>
      </c>
      <c r="O11">
        <v>7.67820512906838E-2</v>
      </c>
      <c r="P11">
        <v>0.33345571005680902</v>
      </c>
      <c r="Q11" t="str">
        <f t="shared" si="2"/>
        <v>1&amp;0&amp;3&amp;0&amp;1&amp;0&amp;420&amp;-3398.0656&amp;0.091\\</v>
      </c>
    </row>
    <row r="12" spans="1:17" x14ac:dyDescent="0.4">
      <c r="A12" t="s">
        <v>1</v>
      </c>
      <c r="B12">
        <v>1</v>
      </c>
      <c r="C12">
        <v>0</v>
      </c>
      <c r="D12">
        <v>4</v>
      </c>
      <c r="E12">
        <v>0</v>
      </c>
      <c r="F12">
        <v>1</v>
      </c>
      <c r="G12">
        <v>0</v>
      </c>
      <c r="H12">
        <v>420</v>
      </c>
      <c r="I12">
        <v>-3607.9491476145299</v>
      </c>
      <c r="J12">
        <v>8.2480839226156608E-3</v>
      </c>
      <c r="K12">
        <f t="shared" si="0"/>
        <v>9.0818962351568749E-2</v>
      </c>
      <c r="L12">
        <v>1.4332526102250101E-2</v>
      </c>
      <c r="M12">
        <f t="shared" si="1"/>
        <v>0.11971852865053972</v>
      </c>
      <c r="N12">
        <v>2912523535412.4302</v>
      </c>
      <c r="O12">
        <v>7.7136757098835398E-2</v>
      </c>
      <c r="P12">
        <v>0.33087863353886299</v>
      </c>
      <c r="Q12" t="str">
        <f t="shared" si="2"/>
        <v>1&amp;0&amp;4&amp;0&amp;1&amp;0&amp;420&amp;-3607.9491&amp;0.0908\\</v>
      </c>
    </row>
    <row r="13" spans="1:17" x14ac:dyDescent="0.4">
      <c r="A13" t="s">
        <v>1</v>
      </c>
      <c r="B13">
        <v>1</v>
      </c>
      <c r="C13">
        <v>0</v>
      </c>
      <c r="D13">
        <v>5</v>
      </c>
      <c r="E13">
        <v>0</v>
      </c>
      <c r="F13">
        <v>1</v>
      </c>
      <c r="G13">
        <v>0</v>
      </c>
      <c r="H13">
        <v>420</v>
      </c>
      <c r="I13">
        <v>-3521.7034752302302</v>
      </c>
      <c r="J13">
        <v>8.2586988702487395E-3</v>
      </c>
      <c r="K13">
        <f t="shared" si="0"/>
        <v>9.0877383711508442E-2</v>
      </c>
      <c r="L13">
        <v>1.4382689803976299E-2</v>
      </c>
      <c r="M13">
        <f t="shared" si="1"/>
        <v>0.1199278524946407</v>
      </c>
      <c r="N13">
        <v>3020985638495.23</v>
      </c>
      <c r="O13">
        <v>7.7371485100594301E-2</v>
      </c>
      <c r="P13">
        <v>0.32853671527502698</v>
      </c>
      <c r="Q13" t="str">
        <f t="shared" si="2"/>
        <v>1&amp;0&amp;5&amp;0&amp;1&amp;0&amp;420&amp;-3521.7035&amp;0.0909\\</v>
      </c>
    </row>
    <row r="14" spans="1:17" x14ac:dyDescent="0.4">
      <c r="A14" t="s">
        <v>1</v>
      </c>
      <c r="B14">
        <v>2</v>
      </c>
      <c r="C14">
        <v>0</v>
      </c>
      <c r="D14">
        <v>0</v>
      </c>
      <c r="E14">
        <v>0</v>
      </c>
      <c r="F14">
        <v>1</v>
      </c>
      <c r="G14">
        <v>0</v>
      </c>
      <c r="H14">
        <v>420</v>
      </c>
      <c r="I14">
        <v>-3575.5202337382302</v>
      </c>
      <c r="J14">
        <v>8.2519931304484307E-3</v>
      </c>
      <c r="K14">
        <f t="shared" si="0"/>
        <v>9.0840481782344329E-2</v>
      </c>
      <c r="L14">
        <v>1.5483131443386901E-2</v>
      </c>
      <c r="M14">
        <f t="shared" si="1"/>
        <v>0.12443123178441537</v>
      </c>
      <c r="N14">
        <v>3452653556287.6201</v>
      </c>
      <c r="O14">
        <v>8.2099168333676698E-2</v>
      </c>
      <c r="P14">
        <v>0.27716203029485598</v>
      </c>
      <c r="Q14" t="str">
        <f t="shared" si="2"/>
        <v>2&amp;0&amp;0&amp;0&amp;1&amp;0&amp;420&amp;-3575.5202&amp;0.0908\\</v>
      </c>
    </row>
    <row r="15" spans="1:17" x14ac:dyDescent="0.4">
      <c r="A15" t="s">
        <v>1</v>
      </c>
      <c r="B15">
        <v>2</v>
      </c>
      <c r="C15">
        <v>0</v>
      </c>
      <c r="D15">
        <v>1</v>
      </c>
      <c r="E15">
        <v>0</v>
      </c>
      <c r="F15">
        <v>1</v>
      </c>
      <c r="G15">
        <v>0</v>
      </c>
      <c r="H15">
        <v>420</v>
      </c>
      <c r="I15">
        <v>-3616.2587458582402</v>
      </c>
      <c r="J15">
        <v>8.2476919995808102E-3</v>
      </c>
      <c r="K15">
        <f t="shared" si="0"/>
        <v>9.0816804610054466E-2</v>
      </c>
      <c r="L15">
        <v>1.4866794977501799E-2</v>
      </c>
      <c r="M15">
        <f t="shared" si="1"/>
        <v>0.12192946722389054</v>
      </c>
      <c r="N15">
        <v>3265883529206.9502</v>
      </c>
      <c r="O15">
        <v>7.9464734362053105E-2</v>
      </c>
      <c r="P15">
        <v>0.305936015795438</v>
      </c>
      <c r="Q15" t="str">
        <f t="shared" si="2"/>
        <v>2&amp;0&amp;1&amp;0&amp;1&amp;0&amp;420&amp;-3616.2587&amp;0.0908\\</v>
      </c>
    </row>
    <row r="16" spans="1:17" x14ac:dyDescent="0.4">
      <c r="A16" t="s">
        <v>1</v>
      </c>
      <c r="B16">
        <v>2</v>
      </c>
      <c r="C16">
        <v>0</v>
      </c>
      <c r="D16">
        <v>2</v>
      </c>
      <c r="E16">
        <v>0</v>
      </c>
      <c r="F16">
        <v>1</v>
      </c>
      <c r="G16">
        <v>0</v>
      </c>
      <c r="H16">
        <v>420</v>
      </c>
      <c r="I16">
        <v>-3860.9520067036801</v>
      </c>
      <c r="J16">
        <v>8.22539972080941E-3</v>
      </c>
      <c r="K16">
        <f t="shared" si="0"/>
        <v>9.0693989441469655E-2</v>
      </c>
      <c r="L16">
        <v>1.4715979187775299E-2</v>
      </c>
      <c r="M16">
        <f t="shared" si="1"/>
        <v>0.12130943569143869</v>
      </c>
      <c r="N16">
        <v>3209921300778.1899</v>
      </c>
      <c r="O16">
        <v>7.8860688541687193E-2</v>
      </c>
      <c r="P16">
        <v>0.31297692865237398</v>
      </c>
      <c r="Q16" t="str">
        <f t="shared" si="2"/>
        <v>2&amp;0&amp;2&amp;0&amp;1&amp;0&amp;420&amp;-3860.952&amp;0.0907\\</v>
      </c>
    </row>
    <row r="17" spans="1:17" x14ac:dyDescent="0.4">
      <c r="A17" t="s">
        <v>1</v>
      </c>
      <c r="B17">
        <v>2</v>
      </c>
      <c r="C17">
        <v>0</v>
      </c>
      <c r="D17">
        <v>3</v>
      </c>
      <c r="E17">
        <v>0</v>
      </c>
      <c r="F17">
        <v>1</v>
      </c>
      <c r="G17">
        <v>0</v>
      </c>
      <c r="H17">
        <v>420</v>
      </c>
      <c r="I17">
        <v>-3977.56835399275</v>
      </c>
      <c r="J17">
        <v>8.2177463109226901E-3</v>
      </c>
      <c r="K17">
        <f t="shared" si="0"/>
        <v>9.065178603272353E-2</v>
      </c>
      <c r="L17">
        <v>1.4652003706634401E-2</v>
      </c>
      <c r="M17">
        <f t="shared" si="1"/>
        <v>0.12104546132191162</v>
      </c>
      <c r="N17">
        <v>3242404493385.3999</v>
      </c>
      <c r="O17">
        <v>7.8591742264904299E-2</v>
      </c>
      <c r="P17">
        <v>0.31596365695522999</v>
      </c>
      <c r="Q17" t="str">
        <f t="shared" si="2"/>
        <v>2&amp;0&amp;3&amp;0&amp;1&amp;0&amp;420&amp;-3977.5684&amp;0.0907\\</v>
      </c>
    </row>
    <row r="18" spans="1:17" x14ac:dyDescent="0.4">
      <c r="A18" t="s">
        <v>1</v>
      </c>
      <c r="B18">
        <v>2</v>
      </c>
      <c r="C18">
        <v>0</v>
      </c>
      <c r="D18">
        <v>4</v>
      </c>
      <c r="E18">
        <v>0</v>
      </c>
      <c r="F18">
        <v>1</v>
      </c>
      <c r="G18">
        <v>0</v>
      </c>
      <c r="H18">
        <v>420</v>
      </c>
      <c r="I18">
        <v>-3959.1459853285901</v>
      </c>
      <c r="J18">
        <v>8.2185276109303495E-3</v>
      </c>
      <c r="K18">
        <f t="shared" si="0"/>
        <v>9.0656095277319049E-2</v>
      </c>
      <c r="L18">
        <v>1.4663324601653699E-2</v>
      </c>
      <c r="M18">
        <f t="shared" si="1"/>
        <v>0.12109221528097378</v>
      </c>
      <c r="N18">
        <v>3265120337982.3599</v>
      </c>
      <c r="O18">
        <v>7.8715401147199507E-2</v>
      </c>
      <c r="P18">
        <v>0.31543513513773502</v>
      </c>
      <c r="Q18" t="str">
        <f t="shared" si="2"/>
        <v>2&amp;0&amp;4&amp;0&amp;1&amp;0&amp;420&amp;-3959.146&amp;0.0907\\</v>
      </c>
    </row>
    <row r="19" spans="1:17" x14ac:dyDescent="0.4">
      <c r="A19" t="s">
        <v>1</v>
      </c>
      <c r="B19">
        <v>2</v>
      </c>
      <c r="C19">
        <v>0</v>
      </c>
      <c r="D19">
        <v>5</v>
      </c>
      <c r="E19">
        <v>0</v>
      </c>
      <c r="F19">
        <v>1</v>
      </c>
      <c r="G19">
        <v>0</v>
      </c>
      <c r="H19">
        <v>420</v>
      </c>
      <c r="I19">
        <v>-3992.5993038736801</v>
      </c>
      <c r="J19">
        <v>8.2164904067443499E-3</v>
      </c>
      <c r="K19">
        <f t="shared" si="0"/>
        <v>9.0644858688975566E-2</v>
      </c>
      <c r="L19">
        <v>1.46023394130888E-2</v>
      </c>
      <c r="M19">
        <f t="shared" si="1"/>
        <v>0.12084013990842943</v>
      </c>
      <c r="N19">
        <v>3249819287043.71</v>
      </c>
      <c r="O19">
        <v>7.84579790779701E-2</v>
      </c>
      <c r="P19">
        <v>0.31828226009082</v>
      </c>
      <c r="Q19" t="str">
        <f t="shared" si="2"/>
        <v>2&amp;0&amp;5&amp;0&amp;1&amp;0&amp;420&amp;-3992.5993&amp;0.0906\\</v>
      </c>
    </row>
    <row r="20" spans="1:17" x14ac:dyDescent="0.4">
      <c r="A20" t="s">
        <v>1</v>
      </c>
      <c r="B20">
        <v>3</v>
      </c>
      <c r="C20">
        <v>0</v>
      </c>
      <c r="D20">
        <v>0</v>
      </c>
      <c r="E20">
        <v>0</v>
      </c>
      <c r="F20">
        <v>1</v>
      </c>
      <c r="G20">
        <v>0</v>
      </c>
      <c r="H20">
        <v>420</v>
      </c>
      <c r="I20">
        <v>-3924.81802252632</v>
      </c>
      <c r="J20">
        <v>8.22127953785169E-3</v>
      </c>
      <c r="K20">
        <f t="shared" si="0"/>
        <v>9.0671271844237913E-2</v>
      </c>
      <c r="L20">
        <v>1.45593633181819E-2</v>
      </c>
      <c r="M20">
        <f t="shared" si="1"/>
        <v>0.12066218677855088</v>
      </c>
      <c r="N20">
        <v>3204720889126.8999</v>
      </c>
      <c r="O20">
        <v>7.8286339212662107E-2</v>
      </c>
      <c r="P20">
        <v>0.32028862122660701</v>
      </c>
      <c r="Q20" t="str">
        <f t="shared" si="2"/>
        <v>3&amp;0&amp;0&amp;0&amp;1&amp;0&amp;420&amp;-3924.818&amp;0.0907\\</v>
      </c>
    </row>
    <row r="21" spans="1:17" x14ac:dyDescent="0.4">
      <c r="A21" t="s">
        <v>1</v>
      </c>
      <c r="B21">
        <v>3</v>
      </c>
      <c r="C21">
        <v>0</v>
      </c>
      <c r="D21">
        <v>1</v>
      </c>
      <c r="E21">
        <v>0</v>
      </c>
      <c r="F21">
        <v>1</v>
      </c>
      <c r="G21">
        <v>0</v>
      </c>
      <c r="H21">
        <v>420</v>
      </c>
      <c r="I21">
        <v>-3664.09466125772</v>
      </c>
      <c r="J21">
        <v>8.2419018318840402E-3</v>
      </c>
      <c r="K21">
        <f t="shared" si="0"/>
        <v>9.0784920729623603E-2</v>
      </c>
      <c r="L21">
        <v>1.4741171462492099E-2</v>
      </c>
      <c r="M21">
        <f t="shared" si="1"/>
        <v>0.12141322606080483</v>
      </c>
      <c r="N21">
        <v>3295182572655.02</v>
      </c>
      <c r="O21">
        <v>7.90345314615368E-2</v>
      </c>
      <c r="P21">
        <v>0.31180081432594797</v>
      </c>
      <c r="Q21" t="str">
        <f t="shared" si="2"/>
        <v>3&amp;0&amp;1&amp;0&amp;1&amp;0&amp;420&amp;-3664.0947&amp;0.0908\\</v>
      </c>
    </row>
    <row r="22" spans="1:17" x14ac:dyDescent="0.4">
      <c r="A22" t="s">
        <v>1</v>
      </c>
      <c r="B22">
        <v>3</v>
      </c>
      <c r="C22">
        <v>0</v>
      </c>
      <c r="D22">
        <v>2</v>
      </c>
      <c r="E22">
        <v>0</v>
      </c>
      <c r="F22">
        <v>1</v>
      </c>
      <c r="G22">
        <v>0</v>
      </c>
      <c r="H22">
        <v>420</v>
      </c>
      <c r="I22">
        <v>-4171.6095539494099</v>
      </c>
      <c r="J22">
        <v>8.2085052825102804E-3</v>
      </c>
      <c r="K22">
        <f t="shared" si="0"/>
        <v>9.0600801776310344E-2</v>
      </c>
      <c r="L22">
        <v>1.4379433162634901E-2</v>
      </c>
      <c r="M22">
        <f t="shared" si="1"/>
        <v>0.1199142742238592</v>
      </c>
      <c r="N22">
        <v>2925237793231.04</v>
      </c>
      <c r="O22">
        <v>7.7245607215253503E-2</v>
      </c>
      <c r="P22">
        <v>0.32868875325415797</v>
      </c>
      <c r="Q22" t="str">
        <f t="shared" si="2"/>
        <v>3&amp;0&amp;2&amp;0&amp;1&amp;0&amp;420&amp;-4171.6096&amp;0.0906\\</v>
      </c>
    </row>
    <row r="23" spans="1:17" x14ac:dyDescent="0.4">
      <c r="A23" t="s">
        <v>1</v>
      </c>
      <c r="B23">
        <v>3</v>
      </c>
      <c r="C23">
        <v>0</v>
      </c>
      <c r="D23">
        <v>3</v>
      </c>
      <c r="E23">
        <v>0</v>
      </c>
      <c r="F23">
        <v>1</v>
      </c>
      <c r="G23">
        <v>0</v>
      </c>
      <c r="H23">
        <v>420</v>
      </c>
      <c r="I23">
        <v>-4210.8085348042996</v>
      </c>
      <c r="J23">
        <v>8.2066175473044494E-3</v>
      </c>
      <c r="K23">
        <f t="shared" si="0"/>
        <v>9.0590383304766126E-2</v>
      </c>
      <c r="L23">
        <v>1.4403344087546399E-2</v>
      </c>
      <c r="M23">
        <f t="shared" si="1"/>
        <v>0.12001393288925415</v>
      </c>
      <c r="N23">
        <v>3005339693755.6299</v>
      </c>
      <c r="O23">
        <v>7.7458792763746898E-2</v>
      </c>
      <c r="P23">
        <v>0.32757245940365098</v>
      </c>
      <c r="Q23" t="str">
        <f t="shared" si="2"/>
        <v>3&amp;0&amp;3&amp;0&amp;1&amp;0&amp;420&amp;-4210.8085&amp;0.0906\\</v>
      </c>
    </row>
    <row r="24" spans="1:17" x14ac:dyDescent="0.4">
      <c r="A24" t="s">
        <v>1</v>
      </c>
      <c r="B24">
        <v>3</v>
      </c>
      <c r="C24">
        <v>0</v>
      </c>
      <c r="D24">
        <v>4</v>
      </c>
      <c r="E24">
        <v>0</v>
      </c>
      <c r="F24">
        <v>1</v>
      </c>
      <c r="G24">
        <v>0</v>
      </c>
      <c r="H24">
        <v>420</v>
      </c>
      <c r="I24">
        <v>-4165.3462765390605</v>
      </c>
      <c r="J24">
        <v>8.2087145244812802E-3</v>
      </c>
      <c r="K24">
        <f t="shared" si="0"/>
        <v>9.0601956515746832E-2</v>
      </c>
      <c r="L24">
        <v>1.4423451875279601E-2</v>
      </c>
      <c r="M24">
        <f t="shared" si="1"/>
        <v>0.12009767639417343</v>
      </c>
      <c r="N24">
        <v>2998217593388.3701</v>
      </c>
      <c r="O24">
        <v>7.7512205433284104E-2</v>
      </c>
      <c r="P24">
        <v>0.32663371697202997</v>
      </c>
      <c r="Q24" t="str">
        <f t="shared" si="2"/>
        <v>3&amp;0&amp;4&amp;0&amp;1&amp;0&amp;420&amp;-4165.3463&amp;0.0906\\</v>
      </c>
    </row>
    <row r="25" spans="1:17" x14ac:dyDescent="0.4">
      <c r="A25" t="s">
        <v>1</v>
      </c>
      <c r="B25">
        <v>3</v>
      </c>
      <c r="C25">
        <v>0</v>
      </c>
      <c r="D25">
        <v>5</v>
      </c>
      <c r="E25">
        <v>0</v>
      </c>
      <c r="F25">
        <v>1</v>
      </c>
      <c r="G25">
        <v>0</v>
      </c>
      <c r="H25">
        <v>420</v>
      </c>
      <c r="I25">
        <v>-3938.7738639603999</v>
      </c>
      <c r="J25">
        <v>8.2196507861068708E-3</v>
      </c>
      <c r="K25">
        <f t="shared" si="0"/>
        <v>9.0662289768717347E-2</v>
      </c>
      <c r="L25">
        <v>1.4465677130071899E-2</v>
      </c>
      <c r="M25">
        <f t="shared" si="1"/>
        <v>0.12027334338943065</v>
      </c>
      <c r="N25">
        <v>3106891869533.3501</v>
      </c>
      <c r="O25">
        <v>7.7725080432774998E-2</v>
      </c>
      <c r="P25">
        <v>0.324662409193885</v>
      </c>
      <c r="Q25" t="str">
        <f t="shared" si="2"/>
        <v>3&amp;0&amp;5&amp;0&amp;1&amp;0&amp;420&amp;-3938.7739&amp;0.0907\\</v>
      </c>
    </row>
    <row r="26" spans="1:17" x14ac:dyDescent="0.4">
      <c r="A26" t="s">
        <v>1</v>
      </c>
      <c r="B26">
        <v>4</v>
      </c>
      <c r="C26">
        <v>0</v>
      </c>
      <c r="D26">
        <v>0</v>
      </c>
      <c r="E26">
        <v>0</v>
      </c>
      <c r="F26">
        <v>1</v>
      </c>
      <c r="G26">
        <v>0</v>
      </c>
      <c r="H26">
        <v>420</v>
      </c>
      <c r="I26">
        <v>-4092.3539474097302</v>
      </c>
      <c r="J26">
        <v>8.21206387347829E-3</v>
      </c>
      <c r="K26">
        <f t="shared" si="0"/>
        <v>9.0620438497495084E-2</v>
      </c>
      <c r="L26">
        <v>1.43854578389898E-2</v>
      </c>
      <c r="M26">
        <f t="shared" si="1"/>
        <v>0.11993939235709759</v>
      </c>
      <c r="N26">
        <v>2623155434809.1602</v>
      </c>
      <c r="O26">
        <v>7.7216327061711207E-2</v>
      </c>
      <c r="P26">
        <v>0.32840748813408399</v>
      </c>
      <c r="Q26" t="str">
        <f t="shared" si="2"/>
        <v>4&amp;0&amp;0&amp;0&amp;1&amp;0&amp;420&amp;-4092.3539&amp;0.0906\\</v>
      </c>
    </row>
    <row r="27" spans="1:17" x14ac:dyDescent="0.4">
      <c r="A27" t="s">
        <v>1</v>
      </c>
      <c r="B27">
        <v>4</v>
      </c>
      <c r="C27">
        <v>0</v>
      </c>
      <c r="D27">
        <v>1</v>
      </c>
      <c r="E27">
        <v>0</v>
      </c>
      <c r="F27">
        <v>1</v>
      </c>
      <c r="G27">
        <v>0</v>
      </c>
      <c r="H27">
        <v>420</v>
      </c>
      <c r="I27">
        <v>-3981.2156221263599</v>
      </c>
      <c r="J27">
        <v>8.2176717450399093E-3</v>
      </c>
      <c r="K27">
        <f t="shared" si="0"/>
        <v>9.0651374755377587E-2</v>
      </c>
      <c r="L27">
        <v>1.44952111388635E-2</v>
      </c>
      <c r="M27">
        <f t="shared" si="1"/>
        <v>0.12039605948229161</v>
      </c>
      <c r="N27">
        <v>3119980662223.4502</v>
      </c>
      <c r="O27">
        <v>7.7970213329077095E-2</v>
      </c>
      <c r="P27">
        <v>0.32328359877493401</v>
      </c>
      <c r="Q27" t="str">
        <f t="shared" si="2"/>
        <v>4&amp;0&amp;1&amp;0&amp;1&amp;0&amp;420&amp;-3981.2156&amp;0.0907\\</v>
      </c>
    </row>
    <row r="28" spans="1:17" x14ac:dyDescent="0.4">
      <c r="A28" t="s">
        <v>1</v>
      </c>
      <c r="B28">
        <v>4</v>
      </c>
      <c r="C28">
        <v>0</v>
      </c>
      <c r="D28">
        <v>2</v>
      </c>
      <c r="E28">
        <v>0</v>
      </c>
      <c r="F28">
        <v>1</v>
      </c>
      <c r="G28">
        <v>0</v>
      </c>
      <c r="H28">
        <v>420</v>
      </c>
      <c r="I28">
        <v>-4216.5237199799903</v>
      </c>
      <c r="J28">
        <v>8.2064769540261904E-3</v>
      </c>
      <c r="K28">
        <f t="shared" si="0"/>
        <v>9.0589607317982074E-2</v>
      </c>
      <c r="L28">
        <v>1.43875969940496E-2</v>
      </c>
      <c r="M28">
        <f t="shared" si="1"/>
        <v>0.11994830967566654</v>
      </c>
      <c r="N28">
        <v>2966100174998.3501</v>
      </c>
      <c r="O28">
        <v>7.7312250678718594E-2</v>
      </c>
      <c r="P28">
        <v>0.32830762057783902</v>
      </c>
      <c r="Q28" t="str">
        <f t="shared" si="2"/>
        <v>4&amp;0&amp;2&amp;0&amp;1&amp;0&amp;420&amp;-4216.5237&amp;0.0906\\</v>
      </c>
    </row>
    <row r="29" spans="1:17" x14ac:dyDescent="0.4">
      <c r="A29" t="s">
        <v>1</v>
      </c>
      <c r="B29">
        <v>4</v>
      </c>
      <c r="C29">
        <v>0</v>
      </c>
      <c r="D29">
        <v>3</v>
      </c>
      <c r="E29">
        <v>0</v>
      </c>
      <c r="F29">
        <v>1</v>
      </c>
      <c r="G29">
        <v>0</v>
      </c>
      <c r="H29">
        <v>420</v>
      </c>
      <c r="I29">
        <v>-4194.5802964803097</v>
      </c>
      <c r="J29">
        <v>8.2071846882808292E-3</v>
      </c>
      <c r="K29">
        <f t="shared" si="0"/>
        <v>9.0593513500033931E-2</v>
      </c>
      <c r="L29">
        <v>1.43878939701156E-2</v>
      </c>
      <c r="M29">
        <f t="shared" si="1"/>
        <v>0.11994954760279673</v>
      </c>
      <c r="N29">
        <v>2967234460021.6899</v>
      </c>
      <c r="O29">
        <v>7.7380674448723097E-2</v>
      </c>
      <c r="P29">
        <v>0.32829375609716699</v>
      </c>
      <c r="Q29" t="str">
        <f t="shared" si="2"/>
        <v>4&amp;0&amp;3&amp;0&amp;1&amp;0&amp;420&amp;-4194.5803&amp;0.0906\\</v>
      </c>
    </row>
    <row r="30" spans="1:17" x14ac:dyDescent="0.4">
      <c r="A30" t="s">
        <v>1</v>
      </c>
      <c r="B30">
        <v>4</v>
      </c>
      <c r="C30">
        <v>0</v>
      </c>
      <c r="D30">
        <v>4</v>
      </c>
      <c r="E30">
        <v>0</v>
      </c>
      <c r="F30">
        <v>1</v>
      </c>
      <c r="G30">
        <v>0</v>
      </c>
      <c r="H30">
        <v>420</v>
      </c>
      <c r="I30">
        <v>-4190.0210374559301</v>
      </c>
      <c r="J30">
        <v>8.2075715919628801E-3</v>
      </c>
      <c r="K30">
        <f t="shared" si="0"/>
        <v>9.05956488577839E-2</v>
      </c>
      <c r="L30">
        <v>1.44077419428701E-2</v>
      </c>
      <c r="M30">
        <f t="shared" si="1"/>
        <v>0.12003225376068759</v>
      </c>
      <c r="N30">
        <v>2978323128179.6201</v>
      </c>
      <c r="O30">
        <v>7.7426106757828905E-2</v>
      </c>
      <c r="P30">
        <v>0.32736714326170602</v>
      </c>
      <c r="Q30" t="str">
        <f t="shared" si="2"/>
        <v>4&amp;0&amp;4&amp;0&amp;1&amp;0&amp;420&amp;-4190.021&amp;0.0906\\</v>
      </c>
    </row>
    <row r="31" spans="1:17" x14ac:dyDescent="0.4">
      <c r="A31" t="s">
        <v>1</v>
      </c>
      <c r="B31">
        <v>4</v>
      </c>
      <c r="C31">
        <v>0</v>
      </c>
      <c r="D31">
        <v>5</v>
      </c>
      <c r="E31">
        <v>0</v>
      </c>
      <c r="F31">
        <v>1</v>
      </c>
      <c r="G31">
        <v>0</v>
      </c>
      <c r="H31">
        <v>420</v>
      </c>
      <c r="I31">
        <v>-3764.8852976994799</v>
      </c>
      <c r="J31">
        <v>8.2326030702160307E-3</v>
      </c>
      <c r="K31">
        <f t="shared" si="0"/>
        <v>9.0733693136651458E-2</v>
      </c>
      <c r="L31">
        <v>1.4428826346471199E-2</v>
      </c>
      <c r="M31">
        <f t="shared" si="1"/>
        <v>0.1201200497272258</v>
      </c>
      <c r="N31">
        <v>3055758293007.9102</v>
      </c>
      <c r="O31">
        <v>7.7608203794984398E-2</v>
      </c>
      <c r="P31">
        <v>0.32638280701504802</v>
      </c>
      <c r="Q31" t="str">
        <f t="shared" si="2"/>
        <v>4&amp;0&amp;5&amp;0&amp;1&amp;0&amp;420&amp;-3764.8853&amp;0.0907\\</v>
      </c>
    </row>
    <row r="32" spans="1:17" x14ac:dyDescent="0.4">
      <c r="A32" t="s">
        <v>1</v>
      </c>
      <c r="B32">
        <v>5</v>
      </c>
      <c r="C32">
        <v>0</v>
      </c>
      <c r="D32">
        <v>0</v>
      </c>
      <c r="E32">
        <v>0</v>
      </c>
      <c r="F32">
        <v>1</v>
      </c>
      <c r="G32">
        <v>0</v>
      </c>
      <c r="H32">
        <v>420</v>
      </c>
      <c r="I32">
        <v>-4090.86893882815</v>
      </c>
      <c r="J32">
        <v>8.2120410795044306E-3</v>
      </c>
      <c r="K32">
        <f t="shared" si="0"/>
        <v>9.0620312731221744E-2</v>
      </c>
      <c r="L32">
        <v>1.43916942158665E-2</v>
      </c>
      <c r="M32">
        <f t="shared" si="1"/>
        <v>0.11996538757436039</v>
      </c>
      <c r="N32">
        <v>2573853622388.0801</v>
      </c>
      <c r="O32">
        <v>7.7203367978659093E-2</v>
      </c>
      <c r="P32">
        <v>0.32811633966606701</v>
      </c>
      <c r="Q32" t="str">
        <f t="shared" si="2"/>
        <v>5&amp;0&amp;0&amp;0&amp;1&amp;0&amp;420&amp;-4090.8689&amp;0.0906\\</v>
      </c>
    </row>
    <row r="33" spans="1:17" x14ac:dyDescent="0.4">
      <c r="A33" t="s">
        <v>1</v>
      </c>
      <c r="B33">
        <v>5</v>
      </c>
      <c r="C33">
        <v>0</v>
      </c>
      <c r="D33">
        <v>1</v>
      </c>
      <c r="E33">
        <v>0</v>
      </c>
      <c r="F33">
        <v>1</v>
      </c>
      <c r="G33">
        <v>0</v>
      </c>
      <c r="H33">
        <v>420</v>
      </c>
      <c r="I33">
        <v>-4075.48651420738</v>
      </c>
      <c r="J33">
        <v>8.2124015632448998E-3</v>
      </c>
      <c r="K33">
        <f t="shared" si="0"/>
        <v>9.0622301688077306E-2</v>
      </c>
      <c r="L33">
        <v>1.43498111734393E-2</v>
      </c>
      <c r="M33">
        <f t="shared" si="1"/>
        <v>0.11979069735768007</v>
      </c>
      <c r="N33">
        <v>2782864599359.4702</v>
      </c>
      <c r="O33">
        <v>7.7067789018878605E-2</v>
      </c>
      <c r="P33">
        <v>0.33007167108360702</v>
      </c>
      <c r="Q33" t="str">
        <f t="shared" si="2"/>
        <v>5&amp;0&amp;1&amp;0&amp;1&amp;0&amp;420&amp;-4075.4865&amp;0.0906\\</v>
      </c>
    </row>
    <row r="34" spans="1:17" x14ac:dyDescent="0.4">
      <c r="A34" t="s">
        <v>1</v>
      </c>
      <c r="B34">
        <v>5</v>
      </c>
      <c r="C34">
        <v>0</v>
      </c>
      <c r="D34">
        <v>2</v>
      </c>
      <c r="E34">
        <v>0</v>
      </c>
      <c r="F34">
        <v>1</v>
      </c>
      <c r="G34">
        <v>0</v>
      </c>
      <c r="H34">
        <v>420</v>
      </c>
      <c r="I34">
        <v>-4017.5454954966699</v>
      </c>
      <c r="J34">
        <v>8.2156776117027104E-3</v>
      </c>
      <c r="K34">
        <f t="shared" si="0"/>
        <v>9.06403751741061E-2</v>
      </c>
      <c r="L34">
        <v>1.4357928466574601E-2</v>
      </c>
      <c r="M34">
        <f t="shared" si="1"/>
        <v>0.119824573717475</v>
      </c>
      <c r="N34">
        <v>2798837508758.1401</v>
      </c>
      <c r="O34">
        <v>7.7067952087211705E-2</v>
      </c>
      <c r="P34">
        <v>0.32969271107084402</v>
      </c>
      <c r="Q34" t="str">
        <f t="shared" si="2"/>
        <v>5&amp;0&amp;2&amp;0&amp;1&amp;0&amp;420&amp;-4017.5455&amp;0.0906\\</v>
      </c>
    </row>
    <row r="35" spans="1:17" x14ac:dyDescent="0.4">
      <c r="A35" t="s">
        <v>1</v>
      </c>
      <c r="B35">
        <v>5</v>
      </c>
      <c r="C35">
        <v>0</v>
      </c>
      <c r="D35">
        <v>3</v>
      </c>
      <c r="E35">
        <v>0</v>
      </c>
      <c r="F35">
        <v>1</v>
      </c>
      <c r="G35">
        <v>0</v>
      </c>
      <c r="H35">
        <v>420</v>
      </c>
      <c r="I35">
        <v>-4215.2859789722797</v>
      </c>
      <c r="J35">
        <v>8.2062890924534393E-3</v>
      </c>
      <c r="K35">
        <f t="shared" si="0"/>
        <v>9.0588570429461127E-2</v>
      </c>
      <c r="L35">
        <v>1.44114441688378E-2</v>
      </c>
      <c r="M35">
        <f t="shared" si="1"/>
        <v>0.12004767456655627</v>
      </c>
      <c r="N35">
        <v>3009824573669.9502</v>
      </c>
      <c r="O35">
        <v>7.7492516930213196E-2</v>
      </c>
      <c r="P35">
        <v>0.32719430293468799</v>
      </c>
      <c r="Q35" t="str">
        <f t="shared" si="2"/>
        <v>5&amp;0&amp;3&amp;0&amp;1&amp;0&amp;420&amp;-4215.286&amp;0.0906\\</v>
      </c>
    </row>
    <row r="36" spans="1:17" x14ac:dyDescent="0.4">
      <c r="A36" t="s">
        <v>1</v>
      </c>
      <c r="B36">
        <v>5</v>
      </c>
      <c r="C36">
        <v>0</v>
      </c>
      <c r="D36">
        <v>4</v>
      </c>
      <c r="E36">
        <v>0</v>
      </c>
      <c r="F36">
        <v>1</v>
      </c>
      <c r="G36">
        <v>0</v>
      </c>
      <c r="H36">
        <v>420</v>
      </c>
      <c r="I36">
        <v>-4211.4817164857304</v>
      </c>
      <c r="J36">
        <v>8.2064064112174397E-3</v>
      </c>
      <c r="K36">
        <f>SQRT(J36)</f>
        <v>9.0589217963383692E-2</v>
      </c>
      <c r="L36">
        <v>1.44007374079728E-2</v>
      </c>
      <c r="M36">
        <f>SQRT(L36)</f>
        <v>0.12000307249388575</v>
      </c>
      <c r="N36">
        <v>2990176794481.1802</v>
      </c>
      <c r="O36">
        <v>7.7439139825283193E-2</v>
      </c>
      <c r="P36">
        <v>0.32769415358273501</v>
      </c>
      <c r="Q36" t="str">
        <f t="shared" si="2"/>
        <v>5&amp;0&amp;4&amp;0&amp;1&amp;0&amp;420&amp;-4211.4817&amp;0.0906\\</v>
      </c>
    </row>
    <row r="37" spans="1:17" x14ac:dyDescent="0.4">
      <c r="A37" t="s">
        <v>9</v>
      </c>
      <c r="B37">
        <v>10</v>
      </c>
      <c r="J37">
        <v>5.3199999999999997E-2</v>
      </c>
      <c r="K37">
        <v>0.230862225</v>
      </c>
      <c r="L37">
        <v>3.6159999999999999E-3</v>
      </c>
      <c r="M37">
        <v>6.0130999999999997E-2</v>
      </c>
      <c r="N37">
        <v>1639057177547.21</v>
      </c>
      <c r="O37">
        <v>2.7133999999999998E-2</v>
      </c>
      <c r="P37">
        <v>0.84394400000000003</v>
      </c>
    </row>
    <row r="38" spans="1:17" x14ac:dyDescent="0.4">
      <c r="A38" t="s">
        <v>10</v>
      </c>
      <c r="B38">
        <v>10</v>
      </c>
      <c r="J38">
        <v>0.34859820000000002</v>
      </c>
      <c r="K38">
        <v>0.59040000000000004</v>
      </c>
      <c r="L38">
        <v>8.1370000000000001E-3</v>
      </c>
      <c r="M38">
        <v>9.0204999999999994E-2</v>
      </c>
      <c r="N38">
        <v>2158576039547.99</v>
      </c>
      <c r="O38">
        <v>4.3195999999999998E-2</v>
      </c>
      <c r="P38">
        <v>0.64880800000000005</v>
      </c>
    </row>
    <row r="39" spans="1:17" x14ac:dyDescent="0.4">
      <c r="A39" t="s">
        <v>60</v>
      </c>
      <c r="B39">
        <v>12</v>
      </c>
      <c r="J39">
        <v>8.8000000000000004E-6</v>
      </c>
      <c r="K39">
        <v>2.9659999999999999E-3</v>
      </c>
      <c r="L39">
        <v>8.5800000000000004E-4</v>
      </c>
      <c r="M39">
        <v>2.9291000000000001E-2</v>
      </c>
      <c r="N39">
        <v>6.3065999999999997E-2</v>
      </c>
      <c r="O39">
        <v>1.2628E-2</v>
      </c>
      <c r="P39">
        <v>0.91977100000000001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4547-3853-4E73-86F5-7AD1706A05E3}">
  <dimension ref="A1:B1"/>
  <sheetViews>
    <sheetView workbookViewId="0">
      <selection activeCell="M30" sqref="M30"/>
    </sheetView>
  </sheetViews>
  <sheetFormatPr defaultRowHeight="13.9" x14ac:dyDescent="0.4"/>
  <sheetData>
    <row r="1" spans="1:2" x14ac:dyDescent="0.4">
      <c r="A1" t="s">
        <v>62</v>
      </c>
      <c r="B1" t="s">
        <v>63</v>
      </c>
    </row>
  </sheetData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E022190D350FF40AD7B1352492DA5A1" ma:contentTypeVersion="8" ma:contentTypeDescription="Create a new document." ma:contentTypeScope="" ma:versionID="f1dacae3f8ae2e56b3ccf501ab37476d">
  <xsd:schema xmlns:xsd="http://www.w3.org/2001/XMLSchema" xmlns:xs="http://www.w3.org/2001/XMLSchema" xmlns:p="http://schemas.microsoft.com/office/2006/metadata/properties" xmlns:ns3="a656b484-0e62-435e-a422-7418131f7215" targetNamespace="http://schemas.microsoft.com/office/2006/metadata/properties" ma:root="true" ma:fieldsID="cfe80520c318b1e1b002d2986b8bea6c" ns3:_="">
    <xsd:import namespace="a656b484-0e62-435e-a422-7418131f72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6b484-0e62-435e-a422-7418131f72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FFC1CC-CD60-45C6-9F68-4EAA6F172053}">
  <ds:schemaRefs>
    <ds:schemaRef ds:uri="http://purl.org/dc/dcmitype/"/>
    <ds:schemaRef ds:uri="http://schemas.microsoft.com/office/2006/documentManagement/types"/>
    <ds:schemaRef ds:uri="http://purl.org/dc/elements/1.1/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a656b484-0e62-435e-a422-7418131f7215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34500793-4563-43A7-88D7-BCD8F7374F9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4CA8F06-9ACD-4F7F-8444-2E8D1403D5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6b484-0e62-435e-a422-7418131f72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Sheet3</vt:lpstr>
      <vt:lpstr>2000data point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黎涛</dc:creator>
  <cp:lastModifiedBy>涛 黎</cp:lastModifiedBy>
  <dcterms:created xsi:type="dcterms:W3CDTF">2015-06-05T18:19:34Z</dcterms:created>
  <dcterms:modified xsi:type="dcterms:W3CDTF">2023-06-21T13:33:38Z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0x0101004E022190D350FF40AD7B1352492DA5A1</vt:lpwstr>
  </property>
</Properties>
</file>